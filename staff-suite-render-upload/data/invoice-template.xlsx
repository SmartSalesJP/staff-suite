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見積書" sheetId="1" r:id="rId5"/>
    <sheet state="visible" name="請求書" sheetId="2" r:id="rId6"/>
  </sheets>
  <definedNames/>
  <calcPr/>
</workbook>
</file>

<file path=xl/sharedStrings.xml><?xml version="1.0" encoding="utf-8"?>
<sst xmlns="http://schemas.openxmlformats.org/spreadsheetml/2006/main" count="99" uniqueCount="64">
  <si>
    <t>見積書</t>
  </si>
  <si>
    <t>見積No.:</t>
  </si>
  <si>
    <t>000001</t>
  </si>
  <si>
    <t>株式会社</t>
  </si>
  <si>
    <t>御中</t>
  </si>
  <si>
    <t>発行日:</t>
  </si>
  <si>
    <t>下記の通り、御請求申し上げます。</t>
  </si>
  <si>
    <r>
      <rPr>
        <rFont val="MS PGothic"/>
        <color rgb="FF1C4587"/>
      </rPr>
      <t>◆</t>
    </r>
    <r>
      <rPr>
        <rFont val="MS PGothic"/>
        <color theme="1"/>
      </rPr>
      <t xml:space="preserve">　 件名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</si>
  <si>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会社名</t>
    </r>
  </si>
  <si>
    <t>業務委託報酬</t>
  </si>
  <si>
    <r>
      <rPr>
        <rFont val="MS PGothic"/>
        <color rgb="FF1C4587"/>
      </rPr>
      <t>◆</t>
    </r>
    <r>
      <rPr>
        <rFont val="MS PGothic"/>
        <color theme="1"/>
      </rPr>
      <t xml:space="preserve">　 有効期限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</si>
  <si>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住所</t>
    </r>
  </si>
  <si>
    <t xml:space="preserve">神奈川県横浜市神奈川区                                             </t>
  </si>
  <si>
    <r>
      <rPr>
        <rFont val="MS PGothic"/>
        <color rgb="FF1C4587"/>
      </rPr>
      <t>◆</t>
    </r>
    <r>
      <rPr>
        <rFont val="MS PGothic"/>
        <color theme="1"/>
      </rPr>
      <t xml:space="preserve">　 支払い条件</t>
    </r>
  </si>
  <si>
    <t xml:space="preserve">西神奈川3-17-22      </t>
  </si>
  <si>
    <t>現場稼働にて</t>
  </si>
  <si>
    <r>
      <rPr>
        <rFont val="MS PGothic"/>
        <color rgb="FF1C4587"/>
      </rPr>
      <t>◆</t>
    </r>
    <r>
      <rPr>
        <rFont val="MS PGothic"/>
        <color theme="1"/>
      </rPr>
      <t xml:space="preserve">　 振込先</t>
    </r>
  </si>
  <si>
    <t xml:space="preserve">GMOあおぞらネット銀行　							</t>
  </si>
  <si>
    <t>合計金額</t>
  </si>
  <si>
    <r>
      <rPr>
        <rFont val="MS PGothic"/>
        <color theme="1"/>
        <sz val="16.0"/>
      </rPr>
      <t>円</t>
    </r>
    <r>
      <rPr>
        <rFont val="MS PGothic"/>
        <color theme="1"/>
        <sz val="7.0"/>
      </rPr>
      <t>（税込）</t>
    </r>
  </si>
  <si>
    <t xml:space="preserve">法人営業部 普通 2010373 </t>
  </si>
  <si>
    <t xml:space="preserve">ド）スマートセールス       </t>
  </si>
  <si>
    <t>No</t>
  </si>
  <si>
    <t>摘要</t>
  </si>
  <si>
    <t>数量</t>
  </si>
  <si>
    <t>単価</t>
  </si>
  <si>
    <t>金額</t>
  </si>
  <si>
    <t>ヤマダ大船　2026/02/01
原田・安達</t>
  </si>
  <si>
    <t>日</t>
  </si>
  <si>
    <t>コジマビックカメラ江北駅前店 2026/02/01-02/03
鈴木</t>
  </si>
  <si>
    <t>ケーズデンキ新浦安 2/6,7,8,9
鈴木</t>
  </si>
  <si>
    <t>コジマ宇都宮　2/6,7,8
塩田</t>
  </si>
  <si>
    <t>コジマ用賀 2/7,8
安達</t>
  </si>
  <si>
    <t>ビックカメラ成城
2026/02/10、11
鈴木</t>
  </si>
  <si>
    <t xml:space="preserve">コジマ用賀 2/7,8,9,10,11
原田												</t>
  </si>
  <si>
    <t>ビック八王子2026/02/14,15
安達</t>
  </si>
  <si>
    <t>ヤマダデンキTL柏店 2026/02/13,14,15,16
鈴木原田</t>
  </si>
  <si>
    <t>コジマさくら 2/15
塩田</t>
  </si>
  <si>
    <t>ケーズ東松山 2026/02/20,21,22,23
原田</t>
  </si>
  <si>
    <t>ケーズ鹿沼　2026/02/26,27,28
原田</t>
  </si>
  <si>
    <t>コジマ宇都宮　2026/02/20,21,22,23
塩田</t>
  </si>
  <si>
    <t>ジョーシン王子 2026/02/28
塩田</t>
  </si>
  <si>
    <t>ヤマダデンキTL四街道店 2026年2月20日,21,22,23
鈴木</t>
  </si>
  <si>
    <t>ケーズデンキ足立店 2026/02/28
鈴木</t>
  </si>
  <si>
    <t>交通費</t>
  </si>
  <si>
    <t>鈴木</t>
  </si>
  <si>
    <t>式</t>
  </si>
  <si>
    <t>安達</t>
  </si>
  <si>
    <t>原田</t>
  </si>
  <si>
    <t>小計</t>
  </si>
  <si>
    <t>消費税(10%)</t>
  </si>
  <si>
    <t>合計</t>
  </si>
  <si>
    <r>
      <rPr>
        <rFont val="MS PGothic"/>
        <color rgb="FF1C4587"/>
      </rPr>
      <t>◆</t>
    </r>
    <r>
      <rPr>
        <rFont val="MS PGothic"/>
        <color theme="1"/>
      </rPr>
      <t xml:space="preserve">　 備考</t>
    </r>
  </si>
  <si>
    <t xml:space="preserve">お振込手数料はご負担願います。																				</t>
  </si>
  <si>
    <t>御請求書</t>
  </si>
  <si>
    <t>請求書No.:</t>
  </si>
  <si>
    <t>下記の通りご請求申し上げます。</t>
  </si>
  <si>
    <r>
      <rPr>
        <rFont val="MS PGothic"/>
        <color rgb="FF1C4587"/>
      </rPr>
      <t>◆</t>
    </r>
    <r>
      <rPr>
        <rFont val="MS PGothic"/>
        <color theme="1"/>
      </rPr>
      <t xml:space="preserve">　 件名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</si>
  <si>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会社名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</si>
  <si>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お支払い期限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</si>
  <si>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住所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</si>
  <si>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振込先</t>
    </r>
  </si>
  <si>
    <r>
      <rPr>
        <rFont val="MS PGothic"/>
        <color theme="1"/>
        <sz val="16.0"/>
      </rPr>
      <t>円</t>
    </r>
    <r>
      <rPr>
        <rFont val="MS PGothic"/>
        <color theme="1"/>
        <sz val="7.0"/>
      </rPr>
      <t>（税込）</t>
    </r>
  </si>
  <si>
    <r>
      <rPr>
        <rFont val="MS PGothic"/>
        <color rgb="FF1C4587"/>
      </rPr>
      <t>◆</t>
    </r>
    <r>
      <rPr>
        <rFont val="MS PGothic"/>
        <color theme="1"/>
      </rPr>
      <t xml:space="preserve">　 備考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</si>
</sst>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M/dd"/>
    <numFmt numFmtId="166" formatCode="[$¥-411]#,##0"/>
  </numFmts>
  <fonts count="16">
    <font>
      <sz val="10.0"/>
      <color rgb="FF000000"/>
      <name val="Arial"/>
      <scheme val="minor"/>
    </font>
    <font>
      <sz val="20.0"/>
      <color theme="1"/>
      <name val="MS PGothic"/>
    </font>
    <font/>
    <font>
      <sz val="20.0"/>
      <color theme="1"/>
      <name val="Arial"/>
      <scheme val="minor"/>
    </font>
    <font>
      <sz val="10.0"/>
      <color theme="1"/>
      <name val="MS PGothic"/>
    </font>
    <font>
      <color theme="1"/>
      <name val="Arial"/>
      <scheme val="minor"/>
    </font>
    <font>
      <b/>
      <sz val="15.0"/>
      <color theme="1"/>
      <name val="MS PGothic"/>
    </font>
    <font>
      <sz val="16.0"/>
      <color theme="1"/>
      <name val="MS PGothic"/>
    </font>
    <font>
      <color theme="1"/>
      <name val="MS PGothic"/>
    </font>
    <font>
      <sz val="8.0"/>
      <color theme="1"/>
      <name val="Arial"/>
      <scheme val="minor"/>
    </font>
    <font>
      <sz val="11.0"/>
      <color theme="1"/>
      <name val="MS PGothic"/>
    </font>
    <font>
      <sz val="14.0"/>
      <color theme="1"/>
      <name val="MS PGothic"/>
    </font>
    <font>
      <sz val="25.0"/>
      <color theme="1"/>
      <name val="Arial"/>
      <scheme val="minor"/>
    </font>
    <font>
      <sz val="17.0"/>
      <color theme="1"/>
      <name val="MS PGothic"/>
    </font>
    <font>
      <sz val="17.0"/>
      <color theme="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48">
    <border/>
    <border>
      <bottom style="thick">
        <color rgb="FF073763"/>
      </bottom>
    </border>
    <border>
      <bottom style="thin">
        <color rgb="FF9FC5E8"/>
      </bottom>
    </border>
    <border>
      <bottom style="double">
        <color rgb="FF9FC5E8"/>
      </bottom>
    </border>
    <border>
      <left style="thin">
        <color rgb="FF000000"/>
      </left>
      <right style="thin">
        <color rgb="FF073763"/>
      </right>
    </border>
    <border>
      <bottom style="thin">
        <color rgb="FF073763"/>
      </bottom>
    </border>
    <border>
      <left style="thin">
        <color rgb="FF000000"/>
      </left>
      <right style="thin">
        <color rgb="FF073763"/>
      </right>
      <top style="thin">
        <color rgb="FF073763"/>
      </top>
      <bottom style="thin">
        <color rgb="FF073763"/>
      </bottom>
    </border>
    <border>
      <top style="thin">
        <color rgb="FF073763"/>
      </top>
      <bottom style="thin">
        <color rgb="FF073763"/>
      </bottom>
    </border>
    <border>
      <left style="thin">
        <color rgb="FF073763"/>
      </left>
      <top style="thin">
        <color rgb="FF073763"/>
      </top>
      <bottom style="thin">
        <color rgb="FF000000"/>
      </bottom>
    </border>
    <border>
      <top style="thin">
        <color rgb="FF073763"/>
      </top>
      <bottom style="thin">
        <color rgb="FF000000"/>
      </bottom>
    </border>
    <border>
      <left style="thin">
        <color rgb="FF073763"/>
      </left>
      <top style="thin">
        <color rgb="FF073763"/>
      </top>
      <bottom style="thin">
        <color rgb="FF073763"/>
      </bottom>
    </border>
    <border>
      <right style="double">
        <color rgb="FF000000"/>
      </right>
      <top style="thin">
        <color rgb="FF073763"/>
      </top>
      <bottom style="thin">
        <color rgb="FF073763"/>
      </bottom>
    </border>
    <border>
      <left style="thin">
        <color rgb="FF073763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73763"/>
      </left>
      <top style="thin">
        <color rgb="FF073763"/>
      </top>
    </border>
    <border>
      <top style="thin">
        <color rgb="FF07376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73763"/>
      </top>
    </border>
    <border>
      <left style="thin">
        <color rgb="FF073763"/>
      </left>
      <top style="thin">
        <color rgb="FF000000"/>
      </top>
      <bottom style="thin">
        <color rgb="FF073763"/>
      </bottom>
    </border>
    <border>
      <top style="thin">
        <color rgb="FF000000"/>
      </top>
      <bottom style="thin">
        <color rgb="FF073763"/>
      </bottom>
    </border>
    <border>
      <left style="thin">
        <color rgb="FF000000"/>
      </left>
      <right style="thin">
        <color rgb="FF073763"/>
      </right>
      <top style="thin">
        <color rgb="FF073763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uble">
        <color rgb="FF000000"/>
      </right>
      <top style="thin">
        <color rgb="FF07376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73763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73763"/>
      </left>
      <bottom style="double">
        <color rgb="FF000000"/>
      </bottom>
    </border>
    <border>
      <left style="thin">
        <color rgb="FF073763"/>
      </left>
      <top style="thin">
        <color rgb="FF073763"/>
      </top>
      <bottom style="double">
        <color rgb="FF000000"/>
      </bottom>
    </border>
    <border>
      <top style="thin">
        <color rgb="FF073763"/>
      </top>
      <bottom style="double">
        <color rgb="FF000000"/>
      </bottom>
    </border>
    <border>
      <right style="double">
        <color rgb="FF000000"/>
      </right>
      <top style="thin">
        <color rgb="FF073763"/>
      </top>
      <bottom style="double">
        <color rgb="FF000000"/>
      </bottom>
    </border>
    <border>
      <left style="thin">
        <color rgb="FF000000"/>
      </left>
    </border>
    <border>
      <right style="thin">
        <color rgb="FF073763"/>
      </right>
    </border>
    <border>
      <left style="thin">
        <color rgb="FF000000"/>
      </left>
      <bottom style="double">
        <color rgb="FF073763"/>
      </bottom>
    </border>
    <border>
      <bottom style="double">
        <color rgb="FF073763"/>
      </bottom>
    </border>
    <border>
      <right style="thin">
        <color rgb="FF073763"/>
      </right>
      <bottom style="double">
        <color rgb="FF073763"/>
      </bottom>
    </border>
    <border>
      <top style="thin">
        <color rgb="FF073763"/>
      </top>
      <bottom style="dotted">
        <color rgb="FF073763"/>
      </bottom>
    </border>
    <border>
      <right style="thin">
        <color rgb="FF073763"/>
      </right>
      <top style="thin">
        <color rgb="FF073763"/>
      </top>
      <bottom style="dotted">
        <color rgb="FF073763"/>
      </bottom>
    </border>
    <border>
      <left style="thin">
        <color rgb="FF073763"/>
      </left>
    </border>
    <border>
      <bottom style="dotted">
        <color rgb="FF073763"/>
      </bottom>
    </border>
    <border>
      <right style="thin">
        <color rgb="FF073763"/>
      </right>
      <bottom style="dotted">
        <color rgb="FF073763"/>
      </bottom>
    </border>
    <border>
      <left style="thin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n">
        <color rgb="FF000000"/>
      </left>
      <top style="thin">
        <color rgb="FF073763"/>
      </top>
      <bottom style="thin">
        <color rgb="FF07376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2" fillId="0" fontId="5" numFmtId="0" xfId="0" applyBorder="1" applyFont="1"/>
    <xf borderId="2" fillId="0" fontId="5" numFmtId="49" xfId="0" applyAlignment="1" applyBorder="1" applyFont="1" applyNumberFormat="1">
      <alignment horizontal="right" readingOrder="0"/>
    </xf>
    <xf borderId="2" fillId="0" fontId="2" numFmtId="0" xfId="0" applyBorder="1" applyFont="1"/>
    <xf borderId="2" fillId="0" fontId="6" numFmtId="0" xfId="0" applyAlignment="1" applyBorder="1" applyFont="1">
      <alignment horizontal="right" readingOrder="0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readingOrder="0"/>
    </xf>
    <xf borderId="2" fillId="0" fontId="5" numFmtId="164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2" fillId="0" fontId="8" numFmtId="0" xfId="0" applyAlignment="1" applyBorder="1" applyFont="1">
      <alignment horizontal="right" readingOrder="0"/>
    </xf>
    <xf borderId="0" fillId="0" fontId="9" numFmtId="0" xfId="0" applyAlignment="1" applyFont="1">
      <alignment readingOrder="0"/>
    </xf>
    <xf borderId="2" fillId="0" fontId="10" numFmtId="165" xfId="0" applyAlignment="1" applyBorder="1" applyFont="1" applyNumberFormat="1">
      <alignment horizontal="right" readingOrder="0"/>
    </xf>
    <xf borderId="0" fillId="0" fontId="10" numFmtId="165" xfId="0" applyAlignment="1" applyFont="1" applyNumberFormat="1">
      <alignment horizontal="right"/>
    </xf>
    <xf borderId="0" fillId="2" fontId="5" numFmtId="0" xfId="0" applyFill="1" applyFont="1"/>
    <xf borderId="0" fillId="3" fontId="11" numFmtId="0" xfId="0" applyAlignment="1" applyFill="1" applyFont="1">
      <alignment horizontal="center" readingOrder="0"/>
    </xf>
    <xf borderId="0" fillId="0" fontId="12" numFmtId="166" xfId="0" applyAlignment="1" applyFont="1" applyNumberFormat="1">
      <alignment horizontal="righ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3" fillId="2" fontId="5" numFmtId="0" xfId="0" applyBorder="1" applyFont="1"/>
    <xf borderId="3" fillId="0" fontId="2" numFmtId="0" xfId="0" applyBorder="1" applyFont="1"/>
    <xf borderId="4" fillId="2" fontId="15" numFmtId="0" xfId="0" applyAlignment="1" applyBorder="1" applyFont="1">
      <alignment readingOrder="0"/>
    </xf>
    <xf borderId="5" fillId="2" fontId="15" numFmtId="0" xfId="0" applyAlignment="1" applyBorder="1" applyFont="1">
      <alignment horizontal="center" readingOrder="0"/>
    </xf>
    <xf borderId="5" fillId="2" fontId="2" numFmtId="0" xfId="0" applyBorder="1" applyFont="1"/>
    <xf borderId="0" fillId="2" fontId="15" numFmtId="0" xfId="0" applyAlignment="1" applyFont="1">
      <alignment horizontal="center" readingOrder="0"/>
    </xf>
    <xf borderId="6" fillId="4" fontId="8" numFmtId="0" xfId="0" applyAlignment="1" applyBorder="1" applyFill="1" applyFont="1">
      <alignment readingOrder="0"/>
    </xf>
    <xf borderId="7" fillId="4" fontId="8" numFmtId="0" xfId="0" applyAlignment="1" applyBorder="1" applyFont="1">
      <alignment readingOrder="0"/>
    </xf>
    <xf borderId="7" fillId="4" fontId="2" numFmtId="0" xfId="0" applyBorder="1" applyFont="1"/>
    <xf borderId="8" fillId="4" fontId="8" numFmtId="0" xfId="0" applyAlignment="1" applyBorder="1" applyFont="1">
      <alignment readingOrder="0"/>
    </xf>
    <xf borderId="9" fillId="4" fontId="2" numFmtId="0" xfId="0" applyBorder="1" applyFont="1"/>
    <xf borderId="9" fillId="4" fontId="8" numFmtId="0" xfId="0" applyAlignment="1" applyBorder="1" applyFont="1">
      <alignment readingOrder="0"/>
    </xf>
    <xf borderId="10" fillId="4" fontId="8" numFmtId="166" xfId="0" applyAlignment="1" applyBorder="1" applyFont="1" applyNumberFormat="1">
      <alignment readingOrder="0"/>
    </xf>
    <xf borderId="11" fillId="4" fontId="2" numFmtId="0" xfId="0" applyBorder="1" applyFont="1"/>
    <xf borderId="6" fillId="5" fontId="8" numFmtId="0" xfId="0" applyAlignment="1" applyBorder="1" applyFill="1" applyFont="1">
      <alignment readingOrder="0"/>
    </xf>
    <xf borderId="7" fillId="5" fontId="8" numFmtId="0" xfId="0" applyAlignment="1" applyBorder="1" applyFont="1">
      <alignment readingOrder="0"/>
    </xf>
    <xf borderId="7" fillId="5" fontId="2" numFmtId="0" xfId="0" applyBorder="1" applyFont="1"/>
    <xf borderId="12" fillId="5" fontId="8" numFmtId="0" xfId="0" applyAlignment="1" applyBorder="1" applyFont="1">
      <alignment readingOrder="0"/>
    </xf>
    <xf borderId="13" fillId="5" fontId="2" numFmtId="0" xfId="0" applyBorder="1" applyFont="1"/>
    <xf borderId="13" fillId="5" fontId="8" numFmtId="0" xfId="0" applyAlignment="1" applyBorder="1" applyFont="1">
      <alignment readingOrder="0"/>
    </xf>
    <xf borderId="10" fillId="5" fontId="8" numFmtId="166" xfId="0" applyAlignment="1" applyBorder="1" applyFont="1" applyNumberFormat="1">
      <alignment readingOrder="0"/>
    </xf>
    <xf borderId="11" fillId="5" fontId="2" numFmtId="0" xfId="0" applyBorder="1" applyFont="1"/>
    <xf borderId="12" fillId="4" fontId="8" numFmtId="0" xfId="0" applyAlignment="1" applyBorder="1" applyFont="1">
      <alignment readingOrder="0"/>
    </xf>
    <xf borderId="13" fillId="4" fontId="2" numFmtId="0" xfId="0" applyBorder="1" applyFont="1"/>
    <xf borderId="13" fillId="4" fontId="8" numFmtId="0" xfId="0" applyAlignment="1" applyBorder="1" applyFont="1">
      <alignment readingOrder="0"/>
    </xf>
    <xf borderId="14" fillId="4" fontId="8" numFmtId="166" xfId="0" applyAlignment="1" applyBorder="1" applyFont="1" applyNumberFormat="1">
      <alignment readingOrder="0"/>
    </xf>
    <xf borderId="15" fillId="4" fontId="2" numFmtId="0" xfId="0" applyBorder="1" applyFont="1"/>
    <xf borderId="14" fillId="5" fontId="8" numFmtId="166" xfId="0" applyAlignment="1" applyBorder="1" applyFont="1" applyNumberFormat="1">
      <alignment readingOrder="0"/>
    </xf>
    <xf borderId="15" fillId="5" fontId="2" numFmtId="0" xfId="0" applyBorder="1" applyFont="1"/>
    <xf borderId="16" fillId="4" fontId="8" numFmtId="166" xfId="0" applyAlignment="1" applyBorder="1" applyFont="1" applyNumberFormat="1">
      <alignment readingOrder="0"/>
    </xf>
    <xf borderId="17" fillId="4" fontId="2" numFmtId="0" xfId="0" applyBorder="1" applyFont="1"/>
    <xf borderId="16" fillId="5" fontId="8" numFmtId="166" xfId="0" applyAlignment="1" applyBorder="1" applyFont="1" applyNumberFormat="1">
      <alignment readingOrder="0"/>
    </xf>
    <xf borderId="17" fillId="5" fontId="2" numFmtId="0" xfId="0" applyBorder="1" applyFont="1"/>
    <xf borderId="18" fillId="5" fontId="8" numFmtId="166" xfId="0" applyAlignment="1" applyBorder="1" applyFont="1" applyNumberFormat="1">
      <alignment readingOrder="0"/>
    </xf>
    <xf borderId="19" fillId="4" fontId="8" numFmtId="166" xfId="0" applyAlignment="1" applyBorder="1" applyFont="1" applyNumberFormat="1">
      <alignment readingOrder="0"/>
    </xf>
    <xf borderId="20" fillId="4" fontId="2" numFmtId="0" xfId="0" applyBorder="1" applyFont="1"/>
    <xf borderId="21" fillId="5" fontId="8" numFmtId="0" xfId="0" applyAlignment="1" applyBorder="1" applyFont="1">
      <alignment readingOrder="0"/>
    </xf>
    <xf borderId="15" fillId="5" fontId="8" numFmtId="0" xfId="0" applyAlignment="1" applyBorder="1" applyFont="1">
      <alignment readingOrder="0"/>
    </xf>
    <xf borderId="16" fillId="4" fontId="8" numFmtId="0" xfId="0" applyAlignment="1" applyBorder="1" applyFont="1">
      <alignment readingOrder="0"/>
    </xf>
    <xf borderId="16" fillId="5" fontId="8" numFmtId="0" xfId="0" applyAlignment="1" applyBorder="1" applyFont="1">
      <alignment readingOrder="0"/>
    </xf>
    <xf borderId="22" fillId="5" fontId="8" numFmtId="0" xfId="0" applyAlignment="1" applyBorder="1" applyFont="1">
      <alignment readingOrder="0"/>
    </xf>
    <xf borderId="23" fillId="5" fontId="2" numFmtId="0" xfId="0" applyBorder="1" applyFont="1"/>
    <xf borderId="24" fillId="5" fontId="2" numFmtId="0" xfId="0" applyBorder="1" applyFont="1"/>
    <xf borderId="22" fillId="5" fontId="8" numFmtId="166" xfId="0" applyAlignment="1" applyBorder="1" applyFont="1" applyNumberFormat="1">
      <alignment readingOrder="0"/>
    </xf>
    <xf borderId="21" fillId="4" fontId="8" numFmtId="0" xfId="0" applyAlignment="1" applyBorder="1" applyFont="1">
      <alignment readingOrder="0"/>
    </xf>
    <xf borderId="25" fillId="4" fontId="2" numFmtId="0" xfId="0" applyBorder="1" applyFont="1"/>
    <xf borderId="25" fillId="5" fontId="2" numFmtId="0" xfId="0" applyBorder="1" applyFont="1"/>
    <xf borderId="26" fillId="4" fontId="8" numFmtId="0" xfId="0" applyAlignment="1" applyBorder="1" applyFont="1">
      <alignment readingOrder="0"/>
    </xf>
    <xf borderId="27" fillId="4" fontId="8" numFmtId="0" xfId="0" applyAlignment="1" applyBorder="1" applyFont="1">
      <alignment readingOrder="0"/>
    </xf>
    <xf borderId="27" fillId="4" fontId="2" numFmtId="0" xfId="0" applyBorder="1" applyFont="1"/>
    <xf borderId="28" fillId="4" fontId="8" numFmtId="0" xfId="0" applyAlignment="1" applyBorder="1" applyFont="1">
      <alignment readingOrder="0"/>
    </xf>
    <xf borderId="29" fillId="4" fontId="2" numFmtId="0" xfId="0" applyBorder="1" applyFont="1"/>
    <xf borderId="29" fillId="4" fontId="8" numFmtId="0" xfId="0" applyAlignment="1" applyBorder="1" applyFont="1">
      <alignment readingOrder="0"/>
    </xf>
    <xf borderId="30" fillId="4" fontId="8" numFmtId="166" xfId="0" applyAlignment="1" applyBorder="1" applyFont="1" applyNumberFormat="1">
      <alignment readingOrder="0"/>
    </xf>
    <xf borderId="31" fillId="4" fontId="8" numFmtId="166" xfId="0" applyAlignment="1" applyBorder="1" applyFont="1" applyNumberFormat="1">
      <alignment readingOrder="0"/>
    </xf>
    <xf borderId="32" fillId="4" fontId="2" numFmtId="0" xfId="0" applyBorder="1" applyFont="1"/>
    <xf borderId="33" fillId="4" fontId="2" numFmtId="0" xfId="0" applyBorder="1" applyFont="1"/>
    <xf borderId="34" fillId="5" fontId="8" numFmtId="0" xfId="0" applyAlignment="1" applyBorder="1" applyFont="1">
      <alignment readingOrder="0"/>
    </xf>
    <xf borderId="0" fillId="5" fontId="8" numFmtId="0" xfId="0" applyFont="1"/>
    <xf borderId="0" fillId="5" fontId="8" numFmtId="166" xfId="0" applyAlignment="1" applyFont="1" applyNumberFormat="1">
      <alignment readingOrder="0"/>
    </xf>
    <xf borderId="35" fillId="5" fontId="2" numFmtId="0" xfId="0" applyBorder="1" applyFont="1"/>
    <xf borderId="34" fillId="4" fontId="8" numFmtId="0" xfId="0" applyAlignment="1" applyBorder="1" applyFont="1">
      <alignment readingOrder="0"/>
    </xf>
    <xf borderId="0" fillId="4" fontId="8" numFmtId="0" xfId="0" applyFont="1"/>
    <xf borderId="0" fillId="4" fontId="8" numFmtId="166" xfId="0" applyFont="1" applyNumberFormat="1"/>
    <xf borderId="35" fillId="4" fontId="2" numFmtId="0" xfId="0" applyBorder="1" applyFont="1"/>
    <xf borderId="36" fillId="5" fontId="8" numFmtId="0" xfId="0" applyBorder="1" applyFont="1"/>
    <xf borderId="37" fillId="5" fontId="8" numFmtId="0" xfId="0" applyBorder="1" applyFont="1"/>
    <xf borderId="37" fillId="5" fontId="8" numFmtId="166" xfId="0" applyBorder="1" applyFont="1" applyNumberFormat="1"/>
    <xf borderId="37" fillId="5" fontId="2" numFmtId="0" xfId="0" applyBorder="1" applyFont="1"/>
    <xf borderId="38" fillId="5" fontId="2" numFmtId="0" xfId="0" applyBorder="1" applyFont="1"/>
    <xf borderId="34" fillId="3" fontId="8" numFmtId="0" xfId="0" applyAlignment="1" applyBorder="1" applyFont="1">
      <alignment readingOrder="0"/>
    </xf>
    <xf borderId="0" fillId="3" fontId="8" numFmtId="0" xfId="0" applyFont="1"/>
    <xf borderId="0" fillId="3" fontId="8" numFmtId="166" xfId="0" applyAlignment="1" applyFont="1" applyNumberFormat="1">
      <alignment readingOrder="0"/>
    </xf>
    <xf borderId="35" fillId="3" fontId="2" numFmtId="0" xfId="0" applyBorder="1" applyFont="1"/>
    <xf borderId="14" fillId="0" fontId="5" numFmtId="0" xfId="0" applyBorder="1" applyFont="1"/>
    <xf borderId="39" fillId="0" fontId="5" numFmtId="0" xfId="0" applyAlignment="1" applyBorder="1" applyFont="1">
      <alignment readingOrder="0"/>
    </xf>
    <xf borderId="39" fillId="0" fontId="5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5" numFmtId="0" xfId="0" applyBorder="1" applyFont="1"/>
    <xf borderId="42" fillId="0" fontId="5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5" numFmtId="0" xfId="0" applyBorder="1" applyFont="1"/>
    <xf borderId="5" fillId="0" fontId="5" numFmtId="0" xfId="0" applyBorder="1" applyFont="1"/>
    <xf borderId="5" fillId="0" fontId="2" numFmtId="0" xfId="0" applyBorder="1" applyFont="1"/>
    <xf borderId="45" fillId="0" fontId="2" numFmtId="0" xfId="0" applyBorder="1" applyFont="1"/>
    <xf borderId="0" fillId="0" fontId="8" numFmtId="0" xfId="0" applyAlignment="1" applyFont="1">
      <alignment horizontal="left" readingOrder="0"/>
    </xf>
    <xf borderId="14" fillId="4" fontId="8" numFmtId="0" xfId="0" applyAlignment="1" applyBorder="1" applyFont="1">
      <alignment readingOrder="0"/>
    </xf>
    <xf borderId="14" fillId="5" fontId="8" numFmtId="0" xfId="0" applyAlignment="1" applyBorder="1" applyFont="1">
      <alignment readingOrder="0"/>
    </xf>
    <xf borderId="9" fillId="5" fontId="8" numFmtId="0" xfId="0" applyAlignment="1" applyBorder="1" applyFont="1">
      <alignment readingOrder="0"/>
    </xf>
    <xf borderId="46" fillId="4" fontId="8" numFmtId="0" xfId="0" applyAlignment="1" applyBorder="1" applyFont="1">
      <alignment readingOrder="0"/>
    </xf>
    <xf borderId="18" fillId="5" fontId="8" numFmtId="0" xfId="0" applyAlignment="1" applyBorder="1" applyFont="1">
      <alignment readingOrder="0"/>
    </xf>
    <xf borderId="46" fillId="5" fontId="8" numFmtId="0" xfId="0" applyAlignment="1" applyBorder="1" applyFont="1">
      <alignment readingOrder="0"/>
    </xf>
    <xf borderId="18" fillId="4" fontId="8" numFmtId="0" xfId="0" applyAlignment="1" applyBorder="1" applyFont="1">
      <alignment readingOrder="0"/>
    </xf>
    <xf borderId="47" fillId="4" fontId="8" numFmtId="0" xfId="0" applyAlignment="1" applyBorder="1" applyFont="1">
      <alignment readingOrder="0"/>
    </xf>
    <xf borderId="32" fillId="4" fontId="8" numFmtId="0" xfId="0" applyAlignment="1" applyBorder="1" applyFont="1">
      <alignment readingOrder="0"/>
    </xf>
    <xf borderId="31" fillId="4" fontId="8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381000" cy="400050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7</xdr:row>
      <xdr:rowOff>19050</xdr:rowOff>
    </xdr:from>
    <xdr:ext cx="1543050" cy="69532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9</xdr:row>
      <xdr:rowOff>47625</xdr:rowOff>
    </xdr:from>
    <xdr:ext cx="685800" cy="695325"/>
    <xdr:pic>
      <xdr:nvPicPr>
        <xdr:cNvPr id="0" name="image3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381000" cy="400050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7</xdr:row>
      <xdr:rowOff>19050</xdr:rowOff>
    </xdr:from>
    <xdr:ext cx="1543050" cy="695325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133350</xdr:colOff>
      <xdr:row>9</xdr:row>
      <xdr:rowOff>47625</xdr:rowOff>
    </xdr:from>
    <xdr:ext cx="685800" cy="695325"/>
    <xdr:pic>
      <xdr:nvPicPr>
        <xdr:cNvPr id="0" name="image3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5" width="3.5"/>
    <col customWidth="1" min="16" max="16" width="2.38"/>
    <col customWidth="1" min="17" max="17" width="4.5"/>
    <col customWidth="1" min="18" max="23" width="3.5"/>
  </cols>
  <sheetData>
    <row r="1">
      <c r="A1" s="1"/>
      <c r="B1" s="1"/>
      <c r="C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/>
      <c r="B2" s="2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/>
    </row>
    <row r="4">
      <c r="Q4" s="5" t="s">
        <v>1</v>
      </c>
      <c r="R4" s="6"/>
      <c r="S4" s="6"/>
      <c r="T4" s="7" t="s">
        <v>2</v>
      </c>
      <c r="U4" s="8"/>
      <c r="V4" s="8"/>
      <c r="W4" s="8"/>
    </row>
    <row r="5">
      <c r="A5" s="9" t="s">
        <v>3</v>
      </c>
      <c r="B5" s="8"/>
      <c r="C5" s="8"/>
      <c r="D5" s="8"/>
      <c r="E5" s="8"/>
      <c r="F5" s="8"/>
      <c r="G5" s="8"/>
      <c r="H5" s="8"/>
      <c r="I5" s="8"/>
      <c r="J5" s="10" t="s">
        <v>4</v>
      </c>
      <c r="Q5" s="11" t="s">
        <v>5</v>
      </c>
      <c r="R5" s="6"/>
      <c r="S5" s="12">
        <f>TODAY()</f>
        <v>46154</v>
      </c>
      <c r="T5" s="8"/>
      <c r="U5" s="8"/>
      <c r="V5" s="8"/>
      <c r="W5" s="8"/>
    </row>
    <row r="6">
      <c r="A6" s="13" t="s">
        <v>6</v>
      </c>
    </row>
    <row r="8">
      <c r="A8" s="13" t="s">
        <v>7</v>
      </c>
      <c r="Q8" s="13" t="s">
        <v>8</v>
      </c>
    </row>
    <row r="9" ht="27.75" customHeight="1">
      <c r="A9" s="14" t="s">
        <v>9</v>
      </c>
      <c r="B9" s="8"/>
      <c r="C9" s="8"/>
      <c r="D9" s="8"/>
      <c r="E9" s="8"/>
      <c r="F9" s="8"/>
      <c r="G9" s="8"/>
      <c r="H9" s="8"/>
      <c r="I9" s="8"/>
      <c r="J9" s="6"/>
      <c r="K9" s="6"/>
      <c r="Q9" s="6"/>
      <c r="R9" s="6"/>
      <c r="S9" s="6"/>
      <c r="T9" s="6"/>
      <c r="U9" s="6"/>
      <c r="V9" s="6"/>
      <c r="W9" s="6"/>
    </row>
    <row r="10">
      <c r="A10" s="13" t="s">
        <v>10</v>
      </c>
      <c r="Q10" s="13" t="s">
        <v>11</v>
      </c>
      <c r="S10" s="15"/>
      <c r="U10" s="15"/>
    </row>
    <row r="11" ht="26.25" customHeight="1">
      <c r="A11" s="16">
        <v>46080.0</v>
      </c>
      <c r="B11" s="8"/>
      <c r="C11" s="8"/>
      <c r="D11" s="8"/>
      <c r="E11" s="8"/>
      <c r="F11" s="8"/>
      <c r="G11" s="8"/>
      <c r="H11" s="8"/>
      <c r="I11" s="8"/>
      <c r="J11" s="6"/>
      <c r="K11" s="6"/>
      <c r="Q11" s="5" t="s">
        <v>12</v>
      </c>
      <c r="R11" s="6"/>
      <c r="S11" s="6"/>
      <c r="T11" s="6"/>
      <c r="U11" s="6"/>
      <c r="V11" s="6"/>
      <c r="W11" s="6"/>
    </row>
    <row r="12">
      <c r="A12" s="13" t="s">
        <v>13</v>
      </c>
      <c r="B12" s="17"/>
      <c r="C12" s="17"/>
      <c r="D12" s="17"/>
      <c r="E12" s="17"/>
      <c r="F12" s="17"/>
      <c r="G12" s="17"/>
      <c r="H12" s="17"/>
      <c r="I12" s="17"/>
      <c r="Q12" s="5" t="s">
        <v>14</v>
      </c>
      <c r="R12" s="6"/>
      <c r="S12" s="6"/>
      <c r="T12" s="6"/>
      <c r="U12" s="6"/>
      <c r="V12" s="6"/>
      <c r="W12" s="6"/>
    </row>
    <row r="13" ht="27.75" customHeight="1">
      <c r="A13" s="14" t="s">
        <v>15</v>
      </c>
      <c r="B13" s="8"/>
      <c r="C13" s="8"/>
      <c r="D13" s="8"/>
      <c r="E13" s="8"/>
      <c r="F13" s="8"/>
      <c r="G13" s="8"/>
      <c r="H13" s="8"/>
      <c r="I13" s="8"/>
      <c r="J13" s="6"/>
      <c r="K13" s="6"/>
      <c r="Q13" s="13" t="s">
        <v>16</v>
      </c>
    </row>
    <row r="14">
      <c r="Q14" s="11" t="s">
        <v>17</v>
      </c>
      <c r="R14" s="6"/>
      <c r="S14" s="6"/>
      <c r="T14" s="6"/>
      <c r="U14" s="6"/>
      <c r="V14" s="6"/>
      <c r="W14" s="6"/>
    </row>
    <row r="15">
      <c r="A15" s="18"/>
      <c r="B15" s="19" t="s">
        <v>18</v>
      </c>
      <c r="E15" s="20">
        <f>O73</f>
        <v>1744721</v>
      </c>
      <c r="L15" s="21" t="s">
        <v>19</v>
      </c>
      <c r="N15" s="22"/>
      <c r="Q15" s="11" t="s">
        <v>20</v>
      </c>
      <c r="R15" s="6"/>
      <c r="S15" s="6"/>
      <c r="T15" s="6"/>
      <c r="U15" s="6"/>
      <c r="V15" s="6"/>
      <c r="W15" s="6"/>
    </row>
    <row r="16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2"/>
      <c r="Q16" s="11" t="s">
        <v>21</v>
      </c>
      <c r="R16" s="6"/>
      <c r="S16" s="6"/>
      <c r="T16" s="6"/>
      <c r="U16" s="6"/>
      <c r="V16" s="6"/>
      <c r="W16" s="6"/>
    </row>
    <row r="18">
      <c r="A18" s="25" t="s">
        <v>22</v>
      </c>
      <c r="B18" s="26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 t="s">
        <v>24</v>
      </c>
      <c r="R18" s="28" t="s">
        <v>25</v>
      </c>
      <c r="U18" s="28" t="s">
        <v>26</v>
      </c>
    </row>
    <row r="19">
      <c r="A19" s="29"/>
      <c r="B19" s="30" t="s">
        <v>27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>
        <v>2.0</v>
      </c>
      <c r="P19" s="33"/>
      <c r="Q19" s="34" t="s">
        <v>28</v>
      </c>
      <c r="R19" s="35">
        <v>30000.0</v>
      </c>
      <c r="S19" s="31"/>
      <c r="T19" s="31"/>
      <c r="U19" s="35">
        <f t="shared" ref="U19:U69" si="1">O19*R19</f>
        <v>60000</v>
      </c>
      <c r="V19" s="31"/>
      <c r="W19" s="36"/>
    </row>
    <row r="20">
      <c r="A20" s="37">
        <v>2.0</v>
      </c>
      <c r="B20" s="38" t="s">
        <v>29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40">
        <v>3.0</v>
      </c>
      <c r="P20" s="41"/>
      <c r="Q20" s="42" t="s">
        <v>28</v>
      </c>
      <c r="R20" s="43">
        <v>30000.0</v>
      </c>
      <c r="S20" s="39"/>
      <c r="T20" s="39"/>
      <c r="U20" s="43">
        <f t="shared" si="1"/>
        <v>90000</v>
      </c>
      <c r="V20" s="39"/>
      <c r="W20" s="44"/>
    </row>
    <row r="21">
      <c r="A21" s="29">
        <v>3.0</v>
      </c>
      <c r="B21" s="30" t="s">
        <v>30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45">
        <v>4.0</v>
      </c>
      <c r="P21" s="46"/>
      <c r="Q21" s="47" t="s">
        <v>28</v>
      </c>
      <c r="R21" s="35">
        <v>30000.0</v>
      </c>
      <c r="S21" s="31"/>
      <c r="T21" s="31"/>
      <c r="U21" s="35">
        <f t="shared" si="1"/>
        <v>120000</v>
      </c>
      <c r="V21" s="31"/>
      <c r="W21" s="36"/>
    </row>
    <row r="22">
      <c r="A22" s="37">
        <v>4.0</v>
      </c>
      <c r="B22" s="38" t="s">
        <v>31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40">
        <v>3.0</v>
      </c>
      <c r="P22" s="41"/>
      <c r="Q22" s="42" t="s">
        <v>28</v>
      </c>
      <c r="R22" s="43">
        <v>30000.0</v>
      </c>
      <c r="S22" s="39"/>
      <c r="T22" s="39"/>
      <c r="U22" s="43">
        <f t="shared" si="1"/>
        <v>90000</v>
      </c>
      <c r="V22" s="39"/>
      <c r="W22" s="44"/>
    </row>
    <row r="23">
      <c r="A23" s="29">
        <v>5.0</v>
      </c>
      <c r="B23" s="30" t="s">
        <v>32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45">
        <v>2.0</v>
      </c>
      <c r="P23" s="46"/>
      <c r="Q23" s="47" t="s">
        <v>28</v>
      </c>
      <c r="R23" s="35">
        <v>28000.0</v>
      </c>
      <c r="S23" s="31"/>
      <c r="T23" s="31"/>
      <c r="U23" s="35">
        <f t="shared" si="1"/>
        <v>56000</v>
      </c>
      <c r="V23" s="31"/>
      <c r="W23" s="36"/>
    </row>
    <row r="24">
      <c r="A24" s="37">
        <v>6.0</v>
      </c>
      <c r="B24" s="38" t="s">
        <v>33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>
        <v>2.0</v>
      </c>
      <c r="P24" s="41"/>
      <c r="Q24" s="42" t="s">
        <v>28</v>
      </c>
      <c r="R24" s="43">
        <v>30000.0</v>
      </c>
      <c r="S24" s="39"/>
      <c r="T24" s="39"/>
      <c r="U24" s="43">
        <f t="shared" si="1"/>
        <v>60000</v>
      </c>
      <c r="V24" s="39"/>
      <c r="W24" s="44"/>
    </row>
    <row r="25">
      <c r="A25" s="29">
        <v>7.0</v>
      </c>
      <c r="B25" s="30" t="s">
        <v>34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45">
        <v>5.0</v>
      </c>
      <c r="P25" s="46"/>
      <c r="Q25" s="47" t="s">
        <v>28</v>
      </c>
      <c r="R25" s="35">
        <v>30000.0</v>
      </c>
      <c r="S25" s="31"/>
      <c r="T25" s="31"/>
      <c r="U25" s="35">
        <f t="shared" si="1"/>
        <v>150000</v>
      </c>
      <c r="V25" s="31"/>
      <c r="W25" s="36"/>
    </row>
    <row r="26">
      <c r="A26" s="37">
        <v>8.0</v>
      </c>
      <c r="B26" s="38" t="s">
        <v>35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>
        <v>2.0</v>
      </c>
      <c r="P26" s="41"/>
      <c r="Q26" s="42" t="s">
        <v>28</v>
      </c>
      <c r="R26" s="43">
        <v>33000.0</v>
      </c>
      <c r="S26" s="39"/>
      <c r="T26" s="39"/>
      <c r="U26" s="43">
        <f t="shared" si="1"/>
        <v>66000</v>
      </c>
      <c r="V26" s="39"/>
      <c r="W26" s="44"/>
    </row>
    <row r="27">
      <c r="A27" s="29">
        <v>9.0</v>
      </c>
      <c r="B27" s="30" t="s">
        <v>36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45">
        <v>8.0</v>
      </c>
      <c r="P27" s="46"/>
      <c r="Q27" s="47" t="s">
        <v>28</v>
      </c>
      <c r="R27" s="35">
        <v>30000.0</v>
      </c>
      <c r="S27" s="31"/>
      <c r="T27" s="31"/>
      <c r="U27" s="35">
        <f t="shared" si="1"/>
        <v>240000</v>
      </c>
      <c r="V27" s="31"/>
      <c r="W27" s="36"/>
    </row>
    <row r="28">
      <c r="A28" s="37">
        <v>10.0</v>
      </c>
      <c r="B28" s="38" t="s">
        <v>37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0">
        <v>1.0</v>
      </c>
      <c r="P28" s="41"/>
      <c r="Q28" s="42" t="s">
        <v>28</v>
      </c>
      <c r="R28" s="43">
        <v>30000.0</v>
      </c>
      <c r="S28" s="39"/>
      <c r="T28" s="39"/>
      <c r="U28" s="43">
        <f t="shared" si="1"/>
        <v>30000</v>
      </c>
      <c r="V28" s="39"/>
      <c r="W28" s="44"/>
    </row>
    <row r="29">
      <c r="A29" s="29">
        <v>11.0</v>
      </c>
      <c r="B29" s="30" t="s">
        <v>38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45">
        <v>4.0</v>
      </c>
      <c r="P29" s="46"/>
      <c r="Q29" s="47" t="s">
        <v>28</v>
      </c>
      <c r="R29" s="35">
        <v>30000.0</v>
      </c>
      <c r="S29" s="31"/>
      <c r="T29" s="31"/>
      <c r="U29" s="35">
        <f t="shared" si="1"/>
        <v>120000</v>
      </c>
      <c r="V29" s="31"/>
      <c r="W29" s="36"/>
    </row>
    <row r="30">
      <c r="A30" s="37">
        <v>12.0</v>
      </c>
      <c r="B30" s="38" t="s">
        <v>39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>
        <v>3.0</v>
      </c>
      <c r="P30" s="41"/>
      <c r="Q30" s="42" t="s">
        <v>28</v>
      </c>
      <c r="R30" s="43">
        <v>30000.0</v>
      </c>
      <c r="S30" s="39"/>
      <c r="T30" s="39"/>
      <c r="U30" s="43">
        <f t="shared" si="1"/>
        <v>90000</v>
      </c>
      <c r="V30" s="39"/>
      <c r="W30" s="44"/>
    </row>
    <row r="31">
      <c r="A31" s="29">
        <v>13.0</v>
      </c>
      <c r="B31" s="30" t="s">
        <v>40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45">
        <v>4.0</v>
      </c>
      <c r="P31" s="46"/>
      <c r="Q31" s="47" t="s">
        <v>28</v>
      </c>
      <c r="R31" s="35">
        <v>30000.0</v>
      </c>
      <c r="S31" s="31"/>
      <c r="T31" s="31"/>
      <c r="U31" s="35">
        <f t="shared" si="1"/>
        <v>120000</v>
      </c>
      <c r="V31" s="31"/>
      <c r="W31" s="36"/>
    </row>
    <row r="32">
      <c r="A32" s="37">
        <v>14.0</v>
      </c>
      <c r="B32" s="38" t="s">
        <v>41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40">
        <v>1.0</v>
      </c>
      <c r="P32" s="41"/>
      <c r="Q32" s="42" t="s">
        <v>28</v>
      </c>
      <c r="R32" s="43">
        <v>30000.0</v>
      </c>
      <c r="S32" s="39"/>
      <c r="T32" s="39"/>
      <c r="U32" s="43">
        <f t="shared" si="1"/>
        <v>30000</v>
      </c>
      <c r="V32" s="39"/>
      <c r="W32" s="44"/>
    </row>
    <row r="33">
      <c r="A33" s="29">
        <v>15.0</v>
      </c>
      <c r="B33" s="30" t="s">
        <v>42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45">
        <v>4.0</v>
      </c>
      <c r="P33" s="46"/>
      <c r="Q33" s="47" t="s">
        <v>28</v>
      </c>
      <c r="R33" s="35">
        <v>30000.0</v>
      </c>
      <c r="S33" s="31"/>
      <c r="T33" s="31"/>
      <c r="U33" s="35">
        <f t="shared" si="1"/>
        <v>120000</v>
      </c>
      <c r="V33" s="31"/>
      <c r="W33" s="36"/>
    </row>
    <row r="34">
      <c r="A34" s="37">
        <v>16.0</v>
      </c>
      <c r="B34" s="38" t="s">
        <v>43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0">
        <v>1.0</v>
      </c>
      <c r="P34" s="41"/>
      <c r="Q34" s="42" t="s">
        <v>28</v>
      </c>
      <c r="R34" s="43">
        <v>30000.0</v>
      </c>
      <c r="S34" s="39"/>
      <c r="T34" s="39"/>
      <c r="U34" s="43">
        <f t="shared" si="1"/>
        <v>30000</v>
      </c>
      <c r="V34" s="39"/>
      <c r="W34" s="44"/>
    </row>
    <row r="35">
      <c r="A35" s="29"/>
      <c r="B35" s="30" t="s">
        <v>44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45"/>
      <c r="P35" s="46"/>
      <c r="Q35" s="47"/>
      <c r="R35" s="48"/>
      <c r="S35" s="49"/>
      <c r="T35" s="49"/>
      <c r="U35" s="35">
        <f t="shared" si="1"/>
        <v>0</v>
      </c>
      <c r="V35" s="31"/>
      <c r="W35" s="36"/>
    </row>
    <row r="36">
      <c r="A36" s="37"/>
      <c r="B36" s="38" t="s">
        <v>45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0">
        <v>1.0</v>
      </c>
      <c r="P36" s="41"/>
      <c r="Q36" s="42" t="s">
        <v>46</v>
      </c>
      <c r="R36" s="50">
        <v>38366.0</v>
      </c>
      <c r="S36" s="51"/>
      <c r="T36" s="51"/>
      <c r="U36" s="43">
        <f t="shared" si="1"/>
        <v>38366</v>
      </c>
      <c r="V36" s="39"/>
      <c r="W36" s="44"/>
    </row>
    <row r="37">
      <c r="A37" s="29"/>
      <c r="B37" s="30" t="s">
        <v>47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45">
        <v>1.0</v>
      </c>
      <c r="P37" s="46"/>
      <c r="Q37" s="47" t="s">
        <v>46</v>
      </c>
      <c r="R37" s="52">
        <v>11976.0</v>
      </c>
      <c r="S37" s="46"/>
      <c r="T37" s="53"/>
      <c r="U37" s="35">
        <f t="shared" si="1"/>
        <v>11976</v>
      </c>
      <c r="V37" s="31"/>
      <c r="W37" s="36"/>
    </row>
    <row r="38">
      <c r="A38" s="37"/>
      <c r="B38" s="38" t="s">
        <v>48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0">
        <v>1.0</v>
      </c>
      <c r="P38" s="41"/>
      <c r="Q38" s="42" t="s">
        <v>46</v>
      </c>
      <c r="R38" s="54">
        <v>63768.0</v>
      </c>
      <c r="S38" s="41"/>
      <c r="T38" s="55"/>
      <c r="U38" s="43">
        <f t="shared" si="1"/>
        <v>63768</v>
      </c>
      <c r="V38" s="39"/>
      <c r="W38" s="44"/>
    </row>
    <row r="39">
      <c r="A39" s="29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45"/>
      <c r="P39" s="46"/>
      <c r="Q39" s="47"/>
      <c r="R39" s="52"/>
      <c r="S39" s="46"/>
      <c r="T39" s="53"/>
      <c r="U39" s="35">
        <f t="shared" si="1"/>
        <v>0</v>
      </c>
      <c r="V39" s="31"/>
      <c r="W39" s="36"/>
    </row>
    <row r="40">
      <c r="A40" s="37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0"/>
      <c r="P40" s="41"/>
      <c r="Q40" s="42"/>
      <c r="R40" s="56"/>
      <c r="S40" s="51"/>
      <c r="T40" s="51"/>
      <c r="U40" s="43">
        <f t="shared" si="1"/>
        <v>0</v>
      </c>
      <c r="V40" s="39"/>
      <c r="W40" s="44"/>
    </row>
    <row r="41">
      <c r="A41" s="29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45"/>
      <c r="P41" s="46"/>
      <c r="Q41" s="47"/>
      <c r="R41" s="52"/>
      <c r="S41" s="46"/>
      <c r="T41" s="53"/>
      <c r="U41" s="35">
        <f t="shared" si="1"/>
        <v>0</v>
      </c>
      <c r="V41" s="31"/>
      <c r="W41" s="36"/>
    </row>
    <row r="42">
      <c r="A42" s="37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40"/>
      <c r="P42" s="41"/>
      <c r="Q42" s="42"/>
      <c r="R42" s="50"/>
      <c r="S42" s="51"/>
      <c r="T42" s="51"/>
      <c r="U42" s="43">
        <f t="shared" si="1"/>
        <v>0</v>
      </c>
      <c r="V42" s="39"/>
      <c r="W42" s="44"/>
    </row>
    <row r="43">
      <c r="A43" s="29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45"/>
      <c r="P43" s="46"/>
      <c r="Q43" s="47"/>
      <c r="R43" s="48"/>
      <c r="S43" s="49"/>
      <c r="T43" s="49"/>
      <c r="U43" s="35">
        <f t="shared" si="1"/>
        <v>0</v>
      </c>
      <c r="V43" s="31"/>
      <c r="W43" s="36"/>
    </row>
    <row r="44">
      <c r="A44" s="37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40"/>
      <c r="P44" s="41"/>
      <c r="Q44" s="42"/>
      <c r="R44" s="50"/>
      <c r="S44" s="51"/>
      <c r="T44" s="51"/>
      <c r="U44" s="43">
        <f t="shared" si="1"/>
        <v>0</v>
      </c>
      <c r="V44" s="39"/>
      <c r="W44" s="44"/>
    </row>
    <row r="45">
      <c r="A45" s="29">
        <v>17.0</v>
      </c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45"/>
      <c r="P45" s="46"/>
      <c r="Q45" s="47"/>
      <c r="R45" s="57"/>
      <c r="S45" s="58"/>
      <c r="T45" s="58"/>
      <c r="U45" s="35">
        <f t="shared" si="1"/>
        <v>0</v>
      </c>
      <c r="V45" s="31"/>
      <c r="W45" s="36"/>
    </row>
    <row r="46">
      <c r="A46" s="37">
        <v>18.0</v>
      </c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0"/>
      <c r="P46" s="41"/>
      <c r="Q46" s="42"/>
      <c r="R46" s="43"/>
      <c r="S46" s="39"/>
      <c r="T46" s="39"/>
      <c r="U46" s="43">
        <f t="shared" si="1"/>
        <v>0</v>
      </c>
      <c r="V46" s="39"/>
      <c r="W46" s="44"/>
    </row>
    <row r="47">
      <c r="A47" s="29">
        <v>19.0</v>
      </c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45"/>
      <c r="P47" s="46"/>
      <c r="Q47" s="47"/>
      <c r="R47" s="35"/>
      <c r="S47" s="31"/>
      <c r="T47" s="31"/>
      <c r="U47" s="35">
        <f t="shared" si="1"/>
        <v>0</v>
      </c>
      <c r="V47" s="31"/>
      <c r="W47" s="36"/>
    </row>
    <row r="48">
      <c r="A48" s="59">
        <v>20.0</v>
      </c>
      <c r="B48" s="60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40"/>
      <c r="P48" s="41"/>
      <c r="Q48" s="42"/>
      <c r="R48" s="50"/>
      <c r="S48" s="51"/>
      <c r="T48" s="51"/>
      <c r="U48" s="43">
        <f t="shared" si="1"/>
        <v>0</v>
      </c>
      <c r="V48" s="39"/>
      <c r="W48" s="44"/>
    </row>
    <row r="49">
      <c r="A49" s="29">
        <v>21.0</v>
      </c>
      <c r="B49" s="61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53"/>
      <c r="O49" s="45"/>
      <c r="P49" s="46"/>
      <c r="Q49" s="47"/>
      <c r="R49" s="52"/>
      <c r="S49" s="46"/>
      <c r="T49" s="53"/>
      <c r="U49" s="35">
        <f t="shared" si="1"/>
        <v>0</v>
      </c>
      <c r="V49" s="31"/>
      <c r="W49" s="36"/>
    </row>
    <row r="50">
      <c r="A50" s="59">
        <v>22.0</v>
      </c>
      <c r="B50" s="62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55"/>
      <c r="O50" s="40"/>
      <c r="P50" s="41"/>
      <c r="Q50" s="42"/>
      <c r="R50" s="54"/>
      <c r="S50" s="41"/>
      <c r="T50" s="55"/>
      <c r="U50" s="43">
        <f t="shared" si="1"/>
        <v>0</v>
      </c>
      <c r="V50" s="39"/>
      <c r="W50" s="44"/>
    </row>
    <row r="51">
      <c r="A51" s="29">
        <v>23.0</v>
      </c>
      <c r="B51" s="61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53"/>
      <c r="O51" s="45"/>
      <c r="P51" s="46"/>
      <c r="Q51" s="47"/>
      <c r="R51" s="52"/>
      <c r="S51" s="46"/>
      <c r="T51" s="53"/>
      <c r="U51" s="35">
        <f t="shared" si="1"/>
        <v>0</v>
      </c>
      <c r="V51" s="31"/>
      <c r="W51" s="36"/>
    </row>
    <row r="52">
      <c r="A52" s="59">
        <v>24.0</v>
      </c>
      <c r="B52" s="62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55"/>
      <c r="O52" s="40"/>
      <c r="P52" s="41"/>
      <c r="Q52" s="42"/>
      <c r="R52" s="54"/>
      <c r="S52" s="41"/>
      <c r="T52" s="55"/>
      <c r="U52" s="43">
        <f t="shared" si="1"/>
        <v>0</v>
      </c>
      <c r="V52" s="39"/>
      <c r="W52" s="44"/>
    </row>
    <row r="53">
      <c r="A53" s="29">
        <v>25.0</v>
      </c>
      <c r="B53" s="61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53"/>
      <c r="O53" s="45"/>
      <c r="P53" s="46"/>
      <c r="Q53" s="47"/>
      <c r="R53" s="52"/>
      <c r="S53" s="46"/>
      <c r="T53" s="53"/>
      <c r="U53" s="35">
        <f t="shared" si="1"/>
        <v>0</v>
      </c>
      <c r="V53" s="31"/>
      <c r="W53" s="36"/>
    </row>
    <row r="54">
      <c r="A54" s="37">
        <v>26.0</v>
      </c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5"/>
      <c r="O54" s="40"/>
      <c r="P54" s="41"/>
      <c r="Q54" s="42"/>
      <c r="R54" s="66"/>
      <c r="S54" s="64"/>
      <c r="T54" s="65"/>
      <c r="U54" s="43">
        <f t="shared" si="1"/>
        <v>0</v>
      </c>
      <c r="V54" s="39"/>
      <c r="W54" s="44"/>
    </row>
    <row r="55">
      <c r="A55" s="67">
        <v>27.0</v>
      </c>
      <c r="B55" s="61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53"/>
      <c r="O55" s="45"/>
      <c r="P55" s="46"/>
      <c r="Q55" s="47"/>
      <c r="R55" s="52"/>
      <c r="S55" s="46"/>
      <c r="T55" s="53"/>
      <c r="U55" s="35">
        <f t="shared" si="1"/>
        <v>0</v>
      </c>
      <c r="V55" s="31"/>
      <c r="W55" s="36"/>
    </row>
    <row r="56">
      <c r="A56" s="59">
        <v>28.0</v>
      </c>
      <c r="B56" s="62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55"/>
      <c r="O56" s="40"/>
      <c r="P56" s="41"/>
      <c r="Q56" s="42"/>
      <c r="R56" s="54"/>
      <c r="S56" s="41"/>
      <c r="T56" s="55"/>
      <c r="U56" s="43">
        <f t="shared" si="1"/>
        <v>0</v>
      </c>
      <c r="V56" s="39"/>
      <c r="W56" s="44"/>
    </row>
    <row r="57">
      <c r="A57" s="29">
        <v>29.0</v>
      </c>
      <c r="B57" s="61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53"/>
      <c r="O57" s="45"/>
      <c r="P57" s="46"/>
      <c r="Q57" s="47"/>
      <c r="R57" s="52"/>
      <c r="S57" s="46"/>
      <c r="T57" s="53"/>
      <c r="U57" s="35">
        <f t="shared" si="1"/>
        <v>0</v>
      </c>
      <c r="V57" s="31"/>
      <c r="W57" s="36"/>
    </row>
    <row r="58">
      <c r="A58" s="59">
        <v>30.0</v>
      </c>
      <c r="B58" s="62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55"/>
      <c r="O58" s="40"/>
      <c r="P58" s="41"/>
      <c r="Q58" s="42"/>
      <c r="R58" s="54"/>
      <c r="S58" s="41"/>
      <c r="T58" s="55"/>
      <c r="U58" s="43">
        <f t="shared" si="1"/>
        <v>0</v>
      </c>
      <c r="V58" s="39"/>
      <c r="W58" s="44"/>
    </row>
    <row r="59">
      <c r="A59" s="67">
        <v>31.0</v>
      </c>
      <c r="B59" s="61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53"/>
      <c r="O59" s="45"/>
      <c r="P59" s="46"/>
      <c r="Q59" s="47"/>
      <c r="R59" s="52"/>
      <c r="S59" s="46"/>
      <c r="T59" s="53"/>
      <c r="U59" s="48">
        <f t="shared" si="1"/>
        <v>0</v>
      </c>
      <c r="V59" s="49"/>
      <c r="W59" s="68"/>
    </row>
    <row r="60">
      <c r="A60" s="37">
        <v>32.0</v>
      </c>
      <c r="B60" s="62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55"/>
      <c r="O60" s="40"/>
      <c r="P60" s="41"/>
      <c r="Q60" s="42"/>
      <c r="R60" s="54"/>
      <c r="S60" s="41"/>
      <c r="T60" s="55"/>
      <c r="U60" s="43">
        <f t="shared" si="1"/>
        <v>0</v>
      </c>
      <c r="V60" s="39"/>
      <c r="W60" s="44"/>
    </row>
    <row r="61">
      <c r="A61" s="67">
        <v>33.0</v>
      </c>
      <c r="B61" s="61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53"/>
      <c r="O61" s="45"/>
      <c r="P61" s="46"/>
      <c r="Q61" s="47"/>
      <c r="R61" s="52"/>
      <c r="S61" s="46"/>
      <c r="T61" s="53"/>
      <c r="U61" s="35">
        <f t="shared" si="1"/>
        <v>0</v>
      </c>
      <c r="V61" s="31"/>
      <c r="W61" s="36"/>
    </row>
    <row r="62">
      <c r="A62" s="59">
        <v>34.0</v>
      </c>
      <c r="B62" s="62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55"/>
      <c r="O62" s="40"/>
      <c r="P62" s="41"/>
      <c r="Q62" s="42"/>
      <c r="R62" s="54"/>
      <c r="S62" s="41"/>
      <c r="T62" s="55"/>
      <c r="U62" s="43">
        <f t="shared" si="1"/>
        <v>0</v>
      </c>
      <c r="V62" s="39"/>
      <c r="W62" s="44"/>
    </row>
    <row r="63">
      <c r="A63" s="29">
        <v>35.0</v>
      </c>
      <c r="B63" s="61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53"/>
      <c r="O63" s="45"/>
      <c r="P63" s="46"/>
      <c r="Q63" s="47"/>
      <c r="R63" s="52"/>
      <c r="S63" s="46"/>
      <c r="T63" s="53"/>
      <c r="U63" s="35">
        <f t="shared" si="1"/>
        <v>0</v>
      </c>
      <c r="V63" s="31"/>
      <c r="W63" s="36"/>
    </row>
    <row r="64">
      <c r="A64" s="59">
        <v>36.0</v>
      </c>
      <c r="B64" s="62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55"/>
      <c r="O64" s="40"/>
      <c r="P64" s="41"/>
      <c r="Q64" s="42"/>
      <c r="R64" s="54"/>
      <c r="S64" s="41"/>
      <c r="T64" s="55"/>
      <c r="U64" s="43">
        <f t="shared" si="1"/>
        <v>0</v>
      </c>
      <c r="V64" s="39"/>
      <c r="W64" s="44"/>
    </row>
    <row r="65">
      <c r="A65" s="67">
        <v>37.0</v>
      </c>
      <c r="B65" s="61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53"/>
      <c r="O65" s="45"/>
      <c r="P65" s="46"/>
      <c r="Q65" s="47"/>
      <c r="R65" s="52"/>
      <c r="S65" s="46"/>
      <c r="T65" s="53"/>
      <c r="U65" s="35">
        <f t="shared" si="1"/>
        <v>0</v>
      </c>
      <c r="V65" s="31"/>
      <c r="W65" s="36"/>
    </row>
    <row r="66">
      <c r="A66" s="37">
        <v>38.0</v>
      </c>
      <c r="B66" s="62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55"/>
      <c r="O66" s="40"/>
      <c r="P66" s="41"/>
      <c r="Q66" s="42"/>
      <c r="R66" s="54"/>
      <c r="S66" s="41"/>
      <c r="T66" s="55"/>
      <c r="U66" s="43">
        <f t="shared" si="1"/>
        <v>0</v>
      </c>
      <c r="V66" s="39"/>
      <c r="W66" s="44"/>
    </row>
    <row r="67">
      <c r="A67" s="67">
        <v>39.0</v>
      </c>
      <c r="B67" s="61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53"/>
      <c r="O67" s="45"/>
      <c r="P67" s="46"/>
      <c r="Q67" s="47"/>
      <c r="R67" s="52"/>
      <c r="S67" s="46"/>
      <c r="T67" s="53"/>
      <c r="U67" s="35">
        <f t="shared" si="1"/>
        <v>0</v>
      </c>
      <c r="V67" s="31"/>
      <c r="W67" s="36"/>
    </row>
    <row r="68">
      <c r="A68" s="37">
        <v>40.0</v>
      </c>
      <c r="B68" s="6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55"/>
      <c r="O68" s="40"/>
      <c r="P68" s="41"/>
      <c r="Q68" s="42"/>
      <c r="R68" s="54"/>
      <c r="S68" s="41"/>
      <c r="T68" s="55"/>
      <c r="U68" s="50">
        <f t="shared" si="1"/>
        <v>0</v>
      </c>
      <c r="V68" s="51"/>
      <c r="W68" s="69"/>
    </row>
    <row r="69">
      <c r="A69" s="70">
        <v>41.0</v>
      </c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4"/>
      <c r="Q69" s="75"/>
      <c r="R69" s="76"/>
      <c r="S69" s="72"/>
      <c r="T69" s="72"/>
      <c r="U69" s="77">
        <f t="shared" si="1"/>
        <v>0</v>
      </c>
      <c r="V69" s="78"/>
      <c r="W69" s="79"/>
    </row>
    <row r="70">
      <c r="A70" s="80" t="s">
        <v>49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2">
        <f>SUM(U19:W69)</f>
        <v>1586110</v>
      </c>
      <c r="W70" s="83"/>
    </row>
    <row r="71">
      <c r="A71" s="84" t="s">
        <v>50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6">
        <f>O70*10%</f>
        <v>158611</v>
      </c>
      <c r="W71" s="87"/>
    </row>
    <row r="72">
      <c r="A72" s="88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90"/>
      <c r="P72" s="91"/>
      <c r="Q72" s="91"/>
      <c r="R72" s="91"/>
      <c r="S72" s="91"/>
      <c r="T72" s="91"/>
      <c r="U72" s="91"/>
      <c r="V72" s="91"/>
      <c r="W72" s="92"/>
    </row>
    <row r="73">
      <c r="A73" s="93" t="s">
        <v>51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5">
        <f>SUM(O70:W71)</f>
        <v>1744721</v>
      </c>
      <c r="W73" s="96"/>
    </row>
    <row r="75">
      <c r="A75" s="13" t="s">
        <v>52</v>
      </c>
    </row>
    <row r="76">
      <c r="A76" s="97"/>
      <c r="B76" s="98" t="s">
        <v>53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100"/>
      <c r="W76" s="101"/>
    </row>
    <row r="77">
      <c r="A77" s="102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4"/>
      <c r="W77" s="105"/>
    </row>
    <row r="78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8"/>
      <c r="W78" s="109"/>
    </row>
  </sheetData>
  <mergeCells count="249">
    <mergeCell ref="B23:N23"/>
    <mergeCell ref="O23:P23"/>
    <mergeCell ref="R23:T23"/>
    <mergeCell ref="U23:W23"/>
    <mergeCell ref="O24:P24"/>
    <mergeCell ref="R24:T24"/>
    <mergeCell ref="U24:W24"/>
    <mergeCell ref="B24:N24"/>
    <mergeCell ref="B25:N25"/>
    <mergeCell ref="O25:P25"/>
    <mergeCell ref="R25:T25"/>
    <mergeCell ref="U25:W25"/>
    <mergeCell ref="B26:N26"/>
    <mergeCell ref="O26:P26"/>
    <mergeCell ref="C1:F2"/>
    <mergeCell ref="T4:W4"/>
    <mergeCell ref="A5:I5"/>
    <mergeCell ref="S5:W5"/>
    <mergeCell ref="A9:I9"/>
    <mergeCell ref="A11:I11"/>
    <mergeCell ref="A13:I13"/>
    <mergeCell ref="B15:D16"/>
    <mergeCell ref="E15:K16"/>
    <mergeCell ref="L15:M16"/>
    <mergeCell ref="B18:N18"/>
    <mergeCell ref="O18:Q18"/>
    <mergeCell ref="R18:T18"/>
    <mergeCell ref="U18:W18"/>
    <mergeCell ref="B19:N19"/>
    <mergeCell ref="O19:P19"/>
    <mergeCell ref="R19:T19"/>
    <mergeCell ref="U19:W19"/>
    <mergeCell ref="O20:P20"/>
    <mergeCell ref="R20:T20"/>
    <mergeCell ref="U20:W20"/>
    <mergeCell ref="R22:T22"/>
    <mergeCell ref="U22:W22"/>
    <mergeCell ref="B20:N20"/>
    <mergeCell ref="B21:N21"/>
    <mergeCell ref="O21:P21"/>
    <mergeCell ref="R21:T21"/>
    <mergeCell ref="U21:W21"/>
    <mergeCell ref="B22:N22"/>
    <mergeCell ref="O22:P22"/>
    <mergeCell ref="R26:T26"/>
    <mergeCell ref="U26:W26"/>
    <mergeCell ref="R30:T30"/>
    <mergeCell ref="U30:W30"/>
    <mergeCell ref="B35:N35"/>
    <mergeCell ref="O35:P35"/>
    <mergeCell ref="R35:T35"/>
    <mergeCell ref="U35:W35"/>
    <mergeCell ref="O36:P36"/>
    <mergeCell ref="R36:T36"/>
    <mergeCell ref="U36:W36"/>
    <mergeCell ref="B36:N36"/>
    <mergeCell ref="B37:N37"/>
    <mergeCell ref="O37:P37"/>
    <mergeCell ref="R37:T37"/>
    <mergeCell ref="U37:W37"/>
    <mergeCell ref="B38:N38"/>
    <mergeCell ref="O38:P38"/>
    <mergeCell ref="B39:N39"/>
    <mergeCell ref="O39:P39"/>
    <mergeCell ref="R39:T39"/>
    <mergeCell ref="U39:W39"/>
    <mergeCell ref="O40:P40"/>
    <mergeCell ref="R40:T40"/>
    <mergeCell ref="U40:W40"/>
    <mergeCell ref="B40:N40"/>
    <mergeCell ref="B41:N41"/>
    <mergeCell ref="O41:P41"/>
    <mergeCell ref="R41:T41"/>
    <mergeCell ref="U41:W41"/>
    <mergeCell ref="B42:N42"/>
    <mergeCell ref="O42:P42"/>
    <mergeCell ref="R43:T43"/>
    <mergeCell ref="R44:T44"/>
    <mergeCell ref="R42:T42"/>
    <mergeCell ref="U42:W42"/>
    <mergeCell ref="B43:N43"/>
    <mergeCell ref="O43:P43"/>
    <mergeCell ref="U43:W43"/>
    <mergeCell ref="O44:P44"/>
    <mergeCell ref="U44:W44"/>
    <mergeCell ref="R46:T46"/>
    <mergeCell ref="U46:W46"/>
    <mergeCell ref="B44:N44"/>
    <mergeCell ref="B45:N45"/>
    <mergeCell ref="O45:P45"/>
    <mergeCell ref="R45:T45"/>
    <mergeCell ref="U45:W45"/>
    <mergeCell ref="B46:N46"/>
    <mergeCell ref="O46:P46"/>
    <mergeCell ref="R51:T51"/>
    <mergeCell ref="R52:T52"/>
    <mergeCell ref="R50:T50"/>
    <mergeCell ref="U50:W50"/>
    <mergeCell ref="B51:N51"/>
    <mergeCell ref="O51:P51"/>
    <mergeCell ref="U51:W51"/>
    <mergeCell ref="O52:P52"/>
    <mergeCell ref="U52:W52"/>
    <mergeCell ref="B63:N63"/>
    <mergeCell ref="O63:P63"/>
    <mergeCell ref="R63:T63"/>
    <mergeCell ref="U63:W63"/>
    <mergeCell ref="O64:P64"/>
    <mergeCell ref="R64:T64"/>
    <mergeCell ref="U64:W64"/>
    <mergeCell ref="B64:N64"/>
    <mergeCell ref="B65:N65"/>
    <mergeCell ref="O65:P65"/>
    <mergeCell ref="R65:T65"/>
    <mergeCell ref="U65:W65"/>
    <mergeCell ref="B66:N66"/>
    <mergeCell ref="O66:P66"/>
    <mergeCell ref="B27:N27"/>
    <mergeCell ref="O27:P27"/>
    <mergeCell ref="R27:T27"/>
    <mergeCell ref="U27:W27"/>
    <mergeCell ref="O28:P28"/>
    <mergeCell ref="R28:T28"/>
    <mergeCell ref="U28:W28"/>
    <mergeCell ref="B28:N28"/>
    <mergeCell ref="B29:N29"/>
    <mergeCell ref="O29:P29"/>
    <mergeCell ref="R29:T29"/>
    <mergeCell ref="U29:W29"/>
    <mergeCell ref="B30:N30"/>
    <mergeCell ref="O30:P30"/>
    <mergeCell ref="B31:N31"/>
    <mergeCell ref="O31:P31"/>
    <mergeCell ref="R31:T31"/>
    <mergeCell ref="U31:W31"/>
    <mergeCell ref="O32:P32"/>
    <mergeCell ref="R32:T32"/>
    <mergeCell ref="U32:W32"/>
    <mergeCell ref="R34:T34"/>
    <mergeCell ref="U34:W34"/>
    <mergeCell ref="B32:N32"/>
    <mergeCell ref="B33:N33"/>
    <mergeCell ref="O33:P33"/>
    <mergeCell ref="R33:T33"/>
    <mergeCell ref="U33:W33"/>
    <mergeCell ref="B34:N34"/>
    <mergeCell ref="O34:P34"/>
    <mergeCell ref="R38:T38"/>
    <mergeCell ref="U38:W38"/>
    <mergeCell ref="B68:N68"/>
    <mergeCell ref="B69:N69"/>
    <mergeCell ref="O69:P69"/>
    <mergeCell ref="R69:T69"/>
    <mergeCell ref="U69:W69"/>
    <mergeCell ref="O70:W70"/>
    <mergeCell ref="O71:W71"/>
    <mergeCell ref="B47:N47"/>
    <mergeCell ref="O47:P47"/>
    <mergeCell ref="R47:T47"/>
    <mergeCell ref="U47:W47"/>
    <mergeCell ref="O48:P48"/>
    <mergeCell ref="R48:T48"/>
    <mergeCell ref="U48:W48"/>
    <mergeCell ref="B48:N48"/>
    <mergeCell ref="B49:N49"/>
    <mergeCell ref="O49:P49"/>
    <mergeCell ref="R49:T49"/>
    <mergeCell ref="U49:W49"/>
    <mergeCell ref="B50:N50"/>
    <mergeCell ref="O50:P50"/>
    <mergeCell ref="R54:T54"/>
    <mergeCell ref="U54:W54"/>
    <mergeCell ref="B52:N52"/>
    <mergeCell ref="B53:N53"/>
    <mergeCell ref="O53:P53"/>
    <mergeCell ref="R53:T53"/>
    <mergeCell ref="U53:W53"/>
    <mergeCell ref="B54:N54"/>
    <mergeCell ref="O54:P54"/>
    <mergeCell ref="B55:N55"/>
    <mergeCell ref="O55:P55"/>
    <mergeCell ref="R55:T55"/>
    <mergeCell ref="U55:W55"/>
    <mergeCell ref="O56:P56"/>
    <mergeCell ref="R56:T56"/>
    <mergeCell ref="U56:W56"/>
    <mergeCell ref="B56:N56"/>
    <mergeCell ref="B57:N57"/>
    <mergeCell ref="O57:P57"/>
    <mergeCell ref="R57:T57"/>
    <mergeCell ref="U57:W57"/>
    <mergeCell ref="B58:N58"/>
    <mergeCell ref="O58:P58"/>
    <mergeCell ref="R59:T59"/>
    <mergeCell ref="R60:T60"/>
    <mergeCell ref="R58:T58"/>
    <mergeCell ref="U58:W58"/>
    <mergeCell ref="B59:N59"/>
    <mergeCell ref="O59:P59"/>
    <mergeCell ref="U59:W59"/>
    <mergeCell ref="O60:P60"/>
    <mergeCell ref="U60:W60"/>
    <mergeCell ref="R62:T62"/>
    <mergeCell ref="U62:W62"/>
    <mergeCell ref="B60:N60"/>
    <mergeCell ref="B61:N61"/>
    <mergeCell ref="O61:P61"/>
    <mergeCell ref="R61:T61"/>
    <mergeCell ref="U61:W61"/>
    <mergeCell ref="B62:N62"/>
    <mergeCell ref="O62:P62"/>
    <mergeCell ref="R67:T67"/>
    <mergeCell ref="R68:T68"/>
    <mergeCell ref="R66:T66"/>
    <mergeCell ref="U66:W66"/>
    <mergeCell ref="B67:N67"/>
    <mergeCell ref="O67:P67"/>
    <mergeCell ref="U67:W67"/>
    <mergeCell ref="O68:P68"/>
    <mergeCell ref="U68:W68"/>
    <mergeCell ref="O72:W72"/>
    <mergeCell ref="O73:W73"/>
    <mergeCell ref="U74:W74"/>
    <mergeCell ref="U75:W75"/>
    <mergeCell ref="U76:W76"/>
    <mergeCell ref="U77:W77"/>
    <mergeCell ref="U78:W78"/>
    <mergeCell ref="U79:W79"/>
    <mergeCell ref="U80:W80"/>
    <mergeCell ref="U81:W81"/>
    <mergeCell ref="U82:W82"/>
    <mergeCell ref="U83:W83"/>
    <mergeCell ref="U84:W84"/>
    <mergeCell ref="U85:W85"/>
    <mergeCell ref="U93:W93"/>
    <mergeCell ref="U94:W94"/>
    <mergeCell ref="U95:W95"/>
    <mergeCell ref="U96:W96"/>
    <mergeCell ref="U97:W97"/>
    <mergeCell ref="U98:W98"/>
    <mergeCell ref="U99:W99"/>
    <mergeCell ref="U100:W100"/>
    <mergeCell ref="U86:W86"/>
    <mergeCell ref="U87:W87"/>
    <mergeCell ref="U88:W88"/>
    <mergeCell ref="U89:W89"/>
    <mergeCell ref="U90:W90"/>
    <mergeCell ref="U91:W91"/>
    <mergeCell ref="U92:W92"/>
  </mergeCells>
  <dataValidations>
    <dataValidation type="list" allowBlank="1" showErrorMessage="1" sqref="O19:O69">
      <formula1>"1,2,3,4,5,6,7,一式,12,8"</formula1>
    </dataValidation>
    <dataValidation type="list" allowBlank="1" showErrorMessage="1" sqref="Q19:Q69">
      <formula1>"日,式"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6" width="3.5"/>
    <col customWidth="1" min="17" max="17" width="4.75"/>
    <col customWidth="1" min="18" max="23" width="3.5"/>
  </cols>
  <sheetData>
    <row r="1">
      <c r="A1" s="1"/>
      <c r="B1" s="1"/>
      <c r="C1" s="1" t="s">
        <v>54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/>
      <c r="B2" s="2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/>
    </row>
    <row r="4">
      <c r="Q4" s="5" t="s">
        <v>55</v>
      </c>
      <c r="R4" s="6"/>
      <c r="S4" s="6"/>
      <c r="T4" s="7" t="str">
        <f>'見積書'!T4</f>
        <v>000001</v>
      </c>
      <c r="U4" s="8"/>
      <c r="V4" s="8"/>
      <c r="W4" s="8"/>
    </row>
    <row r="5">
      <c r="A5" s="9" t="str">
        <f>'見積書'!A5</f>
        <v>株式会社</v>
      </c>
      <c r="B5" s="8"/>
      <c r="C5" s="8"/>
      <c r="D5" s="8"/>
      <c r="E5" s="8"/>
      <c r="F5" s="8"/>
      <c r="G5" s="8"/>
      <c r="H5" s="8"/>
      <c r="I5" s="8"/>
      <c r="J5" s="10" t="s">
        <v>4</v>
      </c>
      <c r="Q5" s="11" t="s">
        <v>5</v>
      </c>
      <c r="R5" s="6"/>
      <c r="S5" s="12">
        <f>'見積書'!S5</f>
        <v>46154</v>
      </c>
      <c r="T5" s="8"/>
      <c r="U5" s="8"/>
      <c r="V5" s="8"/>
      <c r="W5" s="8"/>
    </row>
    <row r="6">
      <c r="A6" s="13" t="s">
        <v>56</v>
      </c>
    </row>
    <row r="8">
      <c r="A8" s="13" t="s">
        <v>57</v>
      </c>
      <c r="Q8" s="13" t="s">
        <v>58</v>
      </c>
    </row>
    <row r="9" ht="27.75" customHeight="1">
      <c r="A9" s="14" t="s">
        <v>9</v>
      </c>
      <c r="B9" s="8"/>
      <c r="C9" s="8"/>
      <c r="D9" s="8"/>
      <c r="E9" s="8"/>
      <c r="F9" s="8"/>
      <c r="G9" s="8"/>
      <c r="H9" s="8"/>
      <c r="I9" s="8"/>
      <c r="J9" s="6"/>
      <c r="K9" s="6"/>
      <c r="Q9" s="6"/>
      <c r="R9" s="6"/>
      <c r="S9" s="6"/>
      <c r="T9" s="6"/>
      <c r="U9" s="6"/>
      <c r="V9" s="6"/>
      <c r="W9" s="6"/>
    </row>
    <row r="10">
      <c r="A10" s="13" t="s">
        <v>59</v>
      </c>
      <c r="Q10" s="13" t="s">
        <v>60</v>
      </c>
      <c r="S10" s="15"/>
      <c r="U10" s="15"/>
    </row>
    <row r="11" ht="26.25" customHeight="1">
      <c r="A11" s="16">
        <f>'見積書'!A11</f>
        <v>46080</v>
      </c>
      <c r="B11" s="8"/>
      <c r="C11" s="8"/>
      <c r="D11" s="8"/>
      <c r="E11" s="8"/>
      <c r="F11" s="8"/>
      <c r="G11" s="8"/>
      <c r="H11" s="8"/>
      <c r="I11" s="8"/>
      <c r="J11" s="6"/>
      <c r="K11" s="6"/>
      <c r="Q11" s="5" t="s">
        <v>12</v>
      </c>
      <c r="R11" s="6"/>
      <c r="S11" s="6"/>
      <c r="T11" s="6"/>
      <c r="U11" s="6"/>
      <c r="V11" s="6"/>
      <c r="W11" s="6"/>
    </row>
    <row r="12">
      <c r="A12" s="13"/>
      <c r="B12" s="17"/>
      <c r="C12" s="17"/>
      <c r="D12" s="17"/>
      <c r="E12" s="17"/>
      <c r="F12" s="17"/>
      <c r="G12" s="17"/>
      <c r="H12" s="17"/>
      <c r="I12" s="17"/>
      <c r="Q12" s="5" t="s">
        <v>14</v>
      </c>
      <c r="R12" s="6"/>
      <c r="S12" s="6"/>
      <c r="T12" s="6"/>
      <c r="U12" s="6"/>
      <c r="V12" s="6"/>
      <c r="W12" s="6"/>
    </row>
    <row r="13" ht="27.75" customHeight="1">
      <c r="A13" s="110"/>
      <c r="Q13" s="13" t="s">
        <v>61</v>
      </c>
    </row>
    <row r="14">
      <c r="Q14" s="11" t="s">
        <v>17</v>
      </c>
      <c r="R14" s="6"/>
      <c r="S14" s="6"/>
      <c r="T14" s="6"/>
      <c r="U14" s="6"/>
      <c r="V14" s="6"/>
      <c r="W14" s="6"/>
    </row>
    <row r="15">
      <c r="A15" s="18"/>
      <c r="B15" s="19" t="s">
        <v>18</v>
      </c>
      <c r="E15" s="20">
        <f>'見積書'!E15</f>
        <v>1744721</v>
      </c>
      <c r="L15" s="21" t="s">
        <v>62</v>
      </c>
      <c r="N15" s="22"/>
      <c r="Q15" s="11" t="s">
        <v>20</v>
      </c>
      <c r="R15" s="6"/>
      <c r="S15" s="6"/>
      <c r="T15" s="6"/>
      <c r="U15" s="6"/>
      <c r="V15" s="6"/>
      <c r="W15" s="6"/>
    </row>
    <row r="16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2"/>
      <c r="Q16" s="11" t="s">
        <v>21</v>
      </c>
      <c r="R16" s="6"/>
      <c r="S16" s="6"/>
      <c r="T16" s="6"/>
      <c r="U16" s="6"/>
      <c r="V16" s="6"/>
      <c r="W16" s="6"/>
    </row>
    <row r="18">
      <c r="A18" s="25" t="s">
        <v>22</v>
      </c>
      <c r="B18" s="26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 t="s">
        <v>24</v>
      </c>
      <c r="R18" s="28" t="s">
        <v>25</v>
      </c>
      <c r="U18" s="28" t="s">
        <v>26</v>
      </c>
    </row>
    <row r="19">
      <c r="A19" s="29"/>
      <c r="B19" s="30" t="str">
        <f>'見積書'!B19</f>
        <v>ヤマダ大船　2026/02/01
原田・安達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111">
        <f>'見積書'!O19</f>
        <v>2</v>
      </c>
      <c r="P19" s="49"/>
      <c r="Q19" s="34" t="str">
        <f>'見積書'!Q19</f>
        <v>日</v>
      </c>
      <c r="R19" s="35">
        <f>'見積書'!R19</f>
        <v>30000</v>
      </c>
      <c r="S19" s="31"/>
      <c r="T19" s="31"/>
      <c r="U19" s="35">
        <f>'見積書'!U19</f>
        <v>60000</v>
      </c>
      <c r="V19" s="31"/>
      <c r="W19" s="36"/>
    </row>
    <row r="20">
      <c r="A20" s="37">
        <v>2.0</v>
      </c>
      <c r="B20" s="38" t="str">
        <f>'見積書'!B20</f>
        <v>コジマビックカメラ江北駅前店 2026/02/01-02/03
鈴木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12">
        <f>'見積書'!O20</f>
        <v>3</v>
      </c>
      <c r="P20" s="51"/>
      <c r="Q20" s="113" t="str">
        <f>'見積書'!Q20</f>
        <v>日</v>
      </c>
      <c r="R20" s="43">
        <f>'見積書'!R20</f>
        <v>30000</v>
      </c>
      <c r="S20" s="39"/>
      <c r="T20" s="39"/>
      <c r="U20" s="43">
        <f>'見積書'!U20</f>
        <v>90000</v>
      </c>
      <c r="V20" s="39"/>
      <c r="W20" s="44"/>
    </row>
    <row r="21">
      <c r="A21" s="29">
        <v>3.0</v>
      </c>
      <c r="B21" s="30" t="str">
        <f>'見積書'!B21</f>
        <v>ケーズデンキ新浦安 2/6,7,8,9
鈴木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111">
        <f>'見積書'!O21</f>
        <v>4</v>
      </c>
      <c r="P21" s="49"/>
      <c r="Q21" s="34" t="str">
        <f>'見積書'!Q21</f>
        <v>日</v>
      </c>
      <c r="R21" s="35">
        <f>'見積書'!R21</f>
        <v>30000</v>
      </c>
      <c r="S21" s="31"/>
      <c r="T21" s="31"/>
      <c r="U21" s="35">
        <f>'見積書'!U21</f>
        <v>120000</v>
      </c>
      <c r="V21" s="31"/>
      <c r="W21" s="36"/>
    </row>
    <row r="22">
      <c r="A22" s="37">
        <v>4.0</v>
      </c>
      <c r="B22" s="38" t="str">
        <f>'見積書'!B22</f>
        <v>コジマ宇都宮　2/6,7,8
塩田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12">
        <f>'見積書'!O22</f>
        <v>3</v>
      </c>
      <c r="P22" s="51"/>
      <c r="Q22" s="113" t="str">
        <f>'見積書'!Q22</f>
        <v>日</v>
      </c>
      <c r="R22" s="43">
        <f>'見積書'!R22</f>
        <v>30000</v>
      </c>
      <c r="S22" s="39"/>
      <c r="T22" s="39"/>
      <c r="U22" s="43">
        <f>'見積書'!U22</f>
        <v>90000</v>
      </c>
      <c r="V22" s="39"/>
      <c r="W22" s="44"/>
    </row>
    <row r="23">
      <c r="A23" s="29">
        <v>5.0</v>
      </c>
      <c r="B23" s="30" t="str">
        <f>'見積書'!B23</f>
        <v>コジマ用賀 2/7,8
安達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111">
        <f>'見積書'!O23</f>
        <v>2</v>
      </c>
      <c r="P23" s="49"/>
      <c r="Q23" s="34" t="str">
        <f>'見積書'!Q23</f>
        <v>日</v>
      </c>
      <c r="R23" s="35">
        <f>'見積書'!R23</f>
        <v>28000</v>
      </c>
      <c r="S23" s="31"/>
      <c r="T23" s="31"/>
      <c r="U23" s="35">
        <f>'見積書'!U23</f>
        <v>56000</v>
      </c>
      <c r="V23" s="31"/>
      <c r="W23" s="36"/>
    </row>
    <row r="24">
      <c r="A24" s="37">
        <v>6.0</v>
      </c>
      <c r="B24" s="38" t="str">
        <f>'見積書'!B24</f>
        <v>ビックカメラ成城
2026/02/10、11
鈴木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112">
        <f>'見積書'!O24</f>
        <v>2</v>
      </c>
      <c r="P24" s="51"/>
      <c r="Q24" s="113" t="str">
        <f>'見積書'!Q24</f>
        <v>日</v>
      </c>
      <c r="R24" s="43">
        <f>'見積書'!R24</f>
        <v>30000</v>
      </c>
      <c r="S24" s="39"/>
      <c r="T24" s="39"/>
      <c r="U24" s="43">
        <f>'見積書'!U24</f>
        <v>60000</v>
      </c>
      <c r="V24" s="39"/>
      <c r="W24" s="44"/>
    </row>
    <row r="25">
      <c r="A25" s="29">
        <v>7.0</v>
      </c>
      <c r="B25" s="30" t="str">
        <f>'見積書'!B25</f>
        <v>コジマ用賀 2/7,8,9,10,11
原田												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111">
        <f>'見積書'!O25</f>
        <v>5</v>
      </c>
      <c r="P25" s="49"/>
      <c r="Q25" s="34" t="str">
        <f>'見積書'!Q25</f>
        <v>日</v>
      </c>
      <c r="R25" s="35">
        <f>'見積書'!R25</f>
        <v>30000</v>
      </c>
      <c r="S25" s="31"/>
      <c r="T25" s="31"/>
      <c r="U25" s="35">
        <f>'見積書'!U25</f>
        <v>150000</v>
      </c>
      <c r="V25" s="31"/>
      <c r="W25" s="36"/>
    </row>
    <row r="26">
      <c r="A26" s="37">
        <v>8.0</v>
      </c>
      <c r="B26" s="38" t="str">
        <f>'見積書'!B26</f>
        <v>ビック八王子2026/02/14,15
安達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112">
        <f>'見積書'!O26</f>
        <v>2</v>
      </c>
      <c r="P26" s="51"/>
      <c r="Q26" s="113" t="str">
        <f>'見積書'!Q26</f>
        <v>日</v>
      </c>
      <c r="R26" s="43">
        <f>'見積書'!R26</f>
        <v>33000</v>
      </c>
      <c r="S26" s="39"/>
      <c r="T26" s="39"/>
      <c r="U26" s="43">
        <f>'見積書'!U26</f>
        <v>66000</v>
      </c>
      <c r="V26" s="39"/>
      <c r="W26" s="44"/>
    </row>
    <row r="27">
      <c r="A27" s="29">
        <v>9.0</v>
      </c>
      <c r="B27" s="30" t="str">
        <f>'見積書'!B27</f>
        <v>ヤマダデンキTL柏店 2026/02/13,14,15,16
鈴木原田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11">
        <f>'見積書'!O27</f>
        <v>8</v>
      </c>
      <c r="P27" s="49"/>
      <c r="Q27" s="34" t="str">
        <f>'見積書'!Q27</f>
        <v>日</v>
      </c>
      <c r="R27" s="35">
        <f>'見積書'!R27</f>
        <v>30000</v>
      </c>
      <c r="S27" s="31"/>
      <c r="T27" s="31"/>
      <c r="U27" s="35">
        <f>'見積書'!U27</f>
        <v>240000</v>
      </c>
      <c r="V27" s="31"/>
      <c r="W27" s="36"/>
    </row>
    <row r="28">
      <c r="A28" s="37">
        <v>10.0</v>
      </c>
      <c r="B28" s="38" t="str">
        <f>'見積書'!B28</f>
        <v>コジマさくら 2/15
塩田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112">
        <f>'見積書'!O28</f>
        <v>1</v>
      </c>
      <c r="P28" s="51"/>
      <c r="Q28" s="113" t="str">
        <f>'見積書'!Q28</f>
        <v>日</v>
      </c>
      <c r="R28" s="43">
        <f>'見積書'!R28</f>
        <v>30000</v>
      </c>
      <c r="S28" s="39"/>
      <c r="T28" s="39"/>
      <c r="U28" s="43">
        <f>'見積書'!U28</f>
        <v>30000</v>
      </c>
      <c r="V28" s="39"/>
      <c r="W28" s="44"/>
    </row>
    <row r="29">
      <c r="A29" s="29">
        <v>11.0</v>
      </c>
      <c r="B29" s="30" t="str">
        <f>'見積書'!B29</f>
        <v>ケーズ東松山 2026/02/20,21,22,23
原田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111">
        <f>'見積書'!O29</f>
        <v>4</v>
      </c>
      <c r="P29" s="49"/>
      <c r="Q29" s="34" t="str">
        <f>'見積書'!Q29</f>
        <v>日</v>
      </c>
      <c r="R29" s="35">
        <f>'見積書'!R29</f>
        <v>30000</v>
      </c>
      <c r="S29" s="31"/>
      <c r="T29" s="31"/>
      <c r="U29" s="35">
        <f>'見積書'!U29</f>
        <v>120000</v>
      </c>
      <c r="V29" s="31"/>
      <c r="W29" s="36"/>
    </row>
    <row r="30">
      <c r="A30" s="37">
        <v>12.0</v>
      </c>
      <c r="B30" s="38" t="str">
        <f>'見積書'!B30</f>
        <v>ケーズ鹿沼　2026/02/26,27,28
原田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112">
        <f>'見積書'!O30</f>
        <v>3</v>
      </c>
      <c r="P30" s="51"/>
      <c r="Q30" s="113" t="str">
        <f>'見積書'!Q30</f>
        <v>日</v>
      </c>
      <c r="R30" s="43">
        <f>'見積書'!R30</f>
        <v>30000</v>
      </c>
      <c r="S30" s="39"/>
      <c r="T30" s="39"/>
      <c r="U30" s="43">
        <f>'見積書'!U30</f>
        <v>90000</v>
      </c>
      <c r="V30" s="39"/>
      <c r="W30" s="44"/>
    </row>
    <row r="31">
      <c r="A31" s="29">
        <v>13.0</v>
      </c>
      <c r="B31" s="30" t="str">
        <f>'見積書'!B31</f>
        <v>コジマ宇都宮　2026/02/20,21,22,23
塩田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111">
        <f>'見積書'!O31</f>
        <v>4</v>
      </c>
      <c r="P31" s="49"/>
      <c r="Q31" s="34" t="str">
        <f>'見積書'!Q31</f>
        <v>日</v>
      </c>
      <c r="R31" s="35">
        <f>'見積書'!R31</f>
        <v>30000</v>
      </c>
      <c r="S31" s="31"/>
      <c r="T31" s="31"/>
      <c r="U31" s="35">
        <f>'見積書'!U31</f>
        <v>120000</v>
      </c>
      <c r="V31" s="31"/>
      <c r="W31" s="36"/>
    </row>
    <row r="32">
      <c r="A32" s="37">
        <v>14.0</v>
      </c>
      <c r="B32" s="38" t="str">
        <f>'見積書'!B32</f>
        <v>ジョーシン王子 2026/02/28
塩田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112">
        <f>'見積書'!O32</f>
        <v>1</v>
      </c>
      <c r="P32" s="51"/>
      <c r="Q32" s="113" t="str">
        <f>'見積書'!Q32</f>
        <v>日</v>
      </c>
      <c r="R32" s="43">
        <f>'見積書'!R32</f>
        <v>30000</v>
      </c>
      <c r="S32" s="39"/>
      <c r="T32" s="39"/>
      <c r="U32" s="43">
        <f>'見積書'!U32</f>
        <v>30000</v>
      </c>
      <c r="V32" s="39"/>
      <c r="W32" s="44"/>
    </row>
    <row r="33">
      <c r="A33" s="29">
        <v>15.0</v>
      </c>
      <c r="B33" s="30" t="str">
        <f>'見積書'!B33</f>
        <v>ヤマダデンキTL四街道店 2026年2月20日,21,22,23
鈴木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111">
        <f>'見積書'!O33</f>
        <v>4</v>
      </c>
      <c r="P33" s="49"/>
      <c r="Q33" s="34" t="str">
        <f>'見積書'!Q33</f>
        <v>日</v>
      </c>
      <c r="R33" s="35">
        <f>'見積書'!R33</f>
        <v>30000</v>
      </c>
      <c r="S33" s="31"/>
      <c r="T33" s="31"/>
      <c r="U33" s="35">
        <f>'見積書'!U33</f>
        <v>120000</v>
      </c>
      <c r="V33" s="31"/>
      <c r="W33" s="36"/>
    </row>
    <row r="34">
      <c r="A34" s="37">
        <v>16.0</v>
      </c>
      <c r="B34" s="38" t="str">
        <f>'見積書'!B34</f>
        <v>ケーズデンキ足立店 2026/02/28
鈴木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112">
        <f>'見積書'!O34</f>
        <v>1</v>
      </c>
      <c r="P34" s="51"/>
      <c r="Q34" s="113" t="str">
        <f>'見積書'!Q34</f>
        <v>日</v>
      </c>
      <c r="R34" s="43">
        <f>'見積書'!R34</f>
        <v>30000</v>
      </c>
      <c r="S34" s="39"/>
      <c r="T34" s="39"/>
      <c r="U34" s="43">
        <f>'見積書'!U34</f>
        <v>30000</v>
      </c>
      <c r="V34" s="39"/>
      <c r="W34" s="44"/>
    </row>
    <row r="35">
      <c r="A35" s="29"/>
      <c r="B35" s="30" t="str">
        <f>'見積書'!B35</f>
        <v>交通費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111" t="str">
        <f>'見積書'!O35</f>
        <v/>
      </c>
      <c r="P35" s="49"/>
      <c r="Q35" s="34" t="str">
        <f>'見積書'!Q35</f>
        <v/>
      </c>
      <c r="R35" s="35" t="str">
        <f>'見積書'!R35</f>
        <v/>
      </c>
      <c r="S35" s="31"/>
      <c r="T35" s="31"/>
      <c r="U35" s="35">
        <f>'見積書'!U35</f>
        <v>0</v>
      </c>
      <c r="V35" s="31"/>
      <c r="W35" s="36"/>
    </row>
    <row r="36">
      <c r="A36" s="37"/>
      <c r="B36" s="38" t="str">
        <f>'見積書'!B36</f>
        <v>鈴木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112">
        <f>'見積書'!O36</f>
        <v>1</v>
      </c>
      <c r="P36" s="51"/>
      <c r="Q36" s="113" t="str">
        <f>'見積書'!Q36</f>
        <v>式</v>
      </c>
      <c r="R36" s="43">
        <f>'見積書'!R36</f>
        <v>38366</v>
      </c>
      <c r="S36" s="39"/>
      <c r="T36" s="39"/>
      <c r="U36" s="43">
        <f>'見積書'!U36</f>
        <v>38366</v>
      </c>
      <c r="V36" s="39"/>
      <c r="W36" s="44"/>
    </row>
    <row r="37">
      <c r="A37" s="29"/>
      <c r="B37" s="30" t="str">
        <f>'見積書'!B37</f>
        <v>安達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111">
        <f>'見積書'!O37</f>
        <v>1</v>
      </c>
      <c r="P37" s="49"/>
      <c r="Q37" s="34" t="str">
        <f>'見積書'!Q37</f>
        <v>式</v>
      </c>
      <c r="R37" s="35">
        <f>'見積書'!R37</f>
        <v>11976</v>
      </c>
      <c r="S37" s="31"/>
      <c r="T37" s="31"/>
      <c r="U37" s="35">
        <f>'見積書'!U37</f>
        <v>11976</v>
      </c>
      <c r="V37" s="31"/>
      <c r="W37" s="36"/>
    </row>
    <row r="38">
      <c r="A38" s="37"/>
      <c r="B38" s="38" t="str">
        <f>'見積書'!B38</f>
        <v>原田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112">
        <f>'見積書'!O38</f>
        <v>1</v>
      </c>
      <c r="P38" s="51"/>
      <c r="Q38" s="113" t="str">
        <f>'見積書'!Q38</f>
        <v>式</v>
      </c>
      <c r="R38" s="43">
        <f>'見積書'!R38</f>
        <v>63768</v>
      </c>
      <c r="S38" s="39"/>
      <c r="T38" s="39"/>
      <c r="U38" s="43">
        <f>'見積書'!U38</f>
        <v>63768</v>
      </c>
      <c r="V38" s="39"/>
      <c r="W38" s="44"/>
    </row>
    <row r="39">
      <c r="A39" s="29"/>
      <c r="B39" s="30" t="str">
        <f>'見積書'!B39</f>
        <v/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111" t="str">
        <f>'見積書'!O39</f>
        <v/>
      </c>
      <c r="P39" s="49"/>
      <c r="Q39" s="34" t="str">
        <f>'見積書'!Q39</f>
        <v/>
      </c>
      <c r="R39" s="35" t="str">
        <f>'見積書'!R39</f>
        <v/>
      </c>
      <c r="S39" s="31"/>
      <c r="T39" s="31"/>
      <c r="U39" s="35">
        <f>'見積書'!U39</f>
        <v>0</v>
      </c>
      <c r="V39" s="31"/>
      <c r="W39" s="36"/>
    </row>
    <row r="40">
      <c r="A40" s="37"/>
      <c r="B40" s="38" t="str">
        <f>'見積書'!B40</f>
        <v/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112" t="str">
        <f>'見積書'!O40</f>
        <v/>
      </c>
      <c r="P40" s="51"/>
      <c r="Q40" s="113" t="str">
        <f>'見積書'!Q40</f>
        <v/>
      </c>
      <c r="R40" s="43" t="str">
        <f>'見積書'!R40</f>
        <v/>
      </c>
      <c r="S40" s="39"/>
      <c r="T40" s="39"/>
      <c r="U40" s="43">
        <f>'見積書'!U40</f>
        <v>0</v>
      </c>
      <c r="V40" s="39"/>
      <c r="W40" s="44"/>
    </row>
    <row r="41">
      <c r="A41" s="29"/>
      <c r="B41" s="30" t="str">
        <f>'見積書'!B41</f>
        <v/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111" t="str">
        <f>'見積書'!O41</f>
        <v/>
      </c>
      <c r="P41" s="49"/>
      <c r="Q41" s="34" t="str">
        <f>'見積書'!Q41</f>
        <v/>
      </c>
      <c r="R41" s="35" t="str">
        <f>'見積書'!R41</f>
        <v/>
      </c>
      <c r="S41" s="31"/>
      <c r="T41" s="31"/>
      <c r="U41" s="35">
        <f>'見積書'!U41</f>
        <v>0</v>
      </c>
      <c r="V41" s="31"/>
      <c r="W41" s="36"/>
    </row>
    <row r="42">
      <c r="A42" s="37"/>
      <c r="B42" s="38" t="str">
        <f>'見積書'!B42</f>
        <v/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112" t="str">
        <f>'見積書'!O42</f>
        <v/>
      </c>
      <c r="P42" s="51"/>
      <c r="Q42" s="113" t="str">
        <f>'見積書'!Q42</f>
        <v/>
      </c>
      <c r="R42" s="43" t="str">
        <f>'見積書'!R42</f>
        <v/>
      </c>
      <c r="S42" s="39"/>
      <c r="T42" s="39"/>
      <c r="U42" s="43">
        <f>'見積書'!U42</f>
        <v>0</v>
      </c>
      <c r="V42" s="39"/>
      <c r="W42" s="44"/>
    </row>
    <row r="43">
      <c r="A43" s="29"/>
      <c r="B43" s="30" t="str">
        <f>'見積書'!B43</f>
        <v/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111" t="str">
        <f>'見積書'!O43</f>
        <v/>
      </c>
      <c r="P43" s="49"/>
      <c r="Q43" s="34" t="str">
        <f>'見積書'!Q43</f>
        <v/>
      </c>
      <c r="R43" s="35" t="str">
        <f>'見積書'!R43</f>
        <v/>
      </c>
      <c r="S43" s="31"/>
      <c r="T43" s="31"/>
      <c r="U43" s="35">
        <f>'見積書'!U43</f>
        <v>0</v>
      </c>
      <c r="V43" s="31"/>
      <c r="W43" s="36"/>
    </row>
    <row r="44">
      <c r="A44" s="37"/>
      <c r="B44" s="38" t="str">
        <f>'見積書'!B44</f>
        <v/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112" t="str">
        <f>'見積書'!O44</f>
        <v/>
      </c>
      <c r="P44" s="51"/>
      <c r="Q44" s="113" t="str">
        <f>'見積書'!Q44</f>
        <v/>
      </c>
      <c r="R44" s="43" t="str">
        <f>'見積書'!R44</f>
        <v/>
      </c>
      <c r="S44" s="39"/>
      <c r="T44" s="39"/>
      <c r="U44" s="43">
        <f>'見積書'!U44</f>
        <v>0</v>
      </c>
      <c r="V44" s="39"/>
      <c r="W44" s="44"/>
    </row>
    <row r="45">
      <c r="A45" s="29">
        <v>17.0</v>
      </c>
      <c r="B45" s="30" t="str">
        <f>'見積書'!B45</f>
        <v/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111" t="str">
        <f>'見積書'!O45</f>
        <v/>
      </c>
      <c r="P45" s="49"/>
      <c r="Q45" s="34" t="str">
        <f>'見積書'!Q45</f>
        <v/>
      </c>
      <c r="R45" s="35" t="str">
        <f>'見積書'!R45</f>
        <v/>
      </c>
      <c r="S45" s="31"/>
      <c r="T45" s="31"/>
      <c r="U45" s="35">
        <f>'見積書'!U45</f>
        <v>0</v>
      </c>
      <c r="V45" s="31"/>
      <c r="W45" s="36"/>
    </row>
    <row r="46">
      <c r="A46" s="37">
        <v>18.0</v>
      </c>
      <c r="B46" s="38" t="str">
        <f>'見積書'!B46</f>
        <v/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112" t="str">
        <f>'見積書'!O46</f>
        <v/>
      </c>
      <c r="P46" s="51"/>
      <c r="Q46" s="113" t="str">
        <f>'見積書'!Q46</f>
        <v/>
      </c>
      <c r="R46" s="43" t="str">
        <f>'見積書'!R46</f>
        <v/>
      </c>
      <c r="S46" s="39"/>
      <c r="T46" s="39"/>
      <c r="U46" s="43">
        <f>'見積書'!U46</f>
        <v>0</v>
      </c>
      <c r="V46" s="39"/>
      <c r="W46" s="44"/>
    </row>
    <row r="47">
      <c r="A47" s="29">
        <v>19.0</v>
      </c>
      <c r="B47" s="30" t="str">
        <f>'見積書'!B47</f>
        <v/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111" t="str">
        <f>'見積書'!O47</f>
        <v/>
      </c>
      <c r="P47" s="49"/>
      <c r="Q47" s="34" t="str">
        <f>'見積書'!Q47</f>
        <v/>
      </c>
      <c r="R47" s="35" t="str">
        <f>'見積書'!R47</f>
        <v/>
      </c>
      <c r="S47" s="31"/>
      <c r="T47" s="31"/>
      <c r="U47" s="35">
        <f>'見積書'!U47</f>
        <v>0</v>
      </c>
      <c r="V47" s="31"/>
      <c r="W47" s="36"/>
    </row>
    <row r="48">
      <c r="A48" s="59">
        <v>20.0</v>
      </c>
      <c r="B48" s="38" t="str">
        <f>'見積書'!B48</f>
        <v/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112" t="str">
        <f>'見積書'!O48</f>
        <v/>
      </c>
      <c r="P48" s="51"/>
      <c r="Q48" s="113" t="str">
        <f>'見積書'!Q48</f>
        <v/>
      </c>
      <c r="R48" s="43" t="str">
        <f>'見積書'!R48</f>
        <v/>
      </c>
      <c r="S48" s="39"/>
      <c r="T48" s="39"/>
      <c r="U48" s="43">
        <f>'見積書'!U48</f>
        <v>0</v>
      </c>
      <c r="V48" s="39"/>
      <c r="W48" s="44"/>
    </row>
    <row r="49">
      <c r="A49" s="114">
        <v>21.0</v>
      </c>
      <c r="B49" s="30" t="str">
        <f>'見積書'!B49</f>
        <v/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111" t="str">
        <f>'見積書'!O49</f>
        <v/>
      </c>
      <c r="P49" s="49"/>
      <c r="Q49" s="34" t="str">
        <f>'見積書'!Q49</f>
        <v/>
      </c>
      <c r="R49" s="35" t="str">
        <f>'見積書'!R49</f>
        <v/>
      </c>
      <c r="S49" s="31"/>
      <c r="T49" s="31"/>
      <c r="U49" s="35">
        <f>'見積書'!U49</f>
        <v>0</v>
      </c>
      <c r="V49" s="31"/>
      <c r="W49" s="36"/>
    </row>
    <row r="50">
      <c r="A50" s="115">
        <v>22.0</v>
      </c>
      <c r="B50" s="38" t="str">
        <f>'見積書'!B50</f>
        <v/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112" t="str">
        <f>'見積書'!O50</f>
        <v/>
      </c>
      <c r="P50" s="51"/>
      <c r="Q50" s="113" t="str">
        <f>'見積書'!Q50</f>
        <v/>
      </c>
      <c r="R50" s="43" t="str">
        <f>'見積書'!R50</f>
        <v/>
      </c>
      <c r="S50" s="39"/>
      <c r="T50" s="39"/>
      <c r="U50" s="43">
        <f>'見積書'!U50</f>
        <v>0</v>
      </c>
      <c r="V50" s="39"/>
      <c r="W50" s="44"/>
    </row>
    <row r="51">
      <c r="A51" s="114">
        <v>23.0</v>
      </c>
      <c r="B51" s="30" t="str">
        <f>'見積書'!B51</f>
        <v/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11" t="str">
        <f>'見積書'!O51</f>
        <v/>
      </c>
      <c r="P51" s="49"/>
      <c r="Q51" s="34" t="str">
        <f>'見積書'!Q51</f>
        <v/>
      </c>
      <c r="R51" s="35" t="str">
        <f>'見積書'!R51</f>
        <v/>
      </c>
      <c r="S51" s="31"/>
      <c r="T51" s="31"/>
      <c r="U51" s="35">
        <f>'見積書'!U51</f>
        <v>0</v>
      </c>
      <c r="V51" s="31"/>
      <c r="W51" s="36"/>
    </row>
    <row r="52">
      <c r="A52" s="115">
        <v>24.0</v>
      </c>
      <c r="B52" s="38" t="str">
        <f>'見積書'!B52</f>
        <v/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112" t="str">
        <f>'見積書'!O52</f>
        <v/>
      </c>
      <c r="P52" s="51"/>
      <c r="Q52" s="113" t="str">
        <f>'見積書'!Q52</f>
        <v/>
      </c>
      <c r="R52" s="43" t="str">
        <f>'見積書'!R52</f>
        <v/>
      </c>
      <c r="S52" s="39"/>
      <c r="T52" s="39"/>
      <c r="U52" s="43">
        <f>'見積書'!U52</f>
        <v>0</v>
      </c>
      <c r="V52" s="39"/>
      <c r="W52" s="44"/>
    </row>
    <row r="53">
      <c r="A53" s="114">
        <v>25.0</v>
      </c>
      <c r="B53" s="30" t="str">
        <f>'見積書'!B53</f>
        <v/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111" t="str">
        <f>'見積書'!O53</f>
        <v/>
      </c>
      <c r="P53" s="49"/>
      <c r="Q53" s="34" t="str">
        <f>'見積書'!Q53</f>
        <v/>
      </c>
      <c r="R53" s="35" t="str">
        <f>'見積書'!R53</f>
        <v/>
      </c>
      <c r="S53" s="31"/>
      <c r="T53" s="31"/>
      <c r="U53" s="35">
        <f>'見積書'!U53</f>
        <v>0</v>
      </c>
      <c r="V53" s="31"/>
      <c r="W53" s="36"/>
    </row>
    <row r="54">
      <c r="A54" s="116">
        <v>26.0</v>
      </c>
      <c r="B54" s="38" t="str">
        <f>'見積書'!B54</f>
        <v/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112" t="str">
        <f>'見積書'!O54</f>
        <v/>
      </c>
      <c r="P54" s="51"/>
      <c r="Q54" s="113" t="str">
        <f>'見積書'!Q54</f>
        <v/>
      </c>
      <c r="R54" s="43" t="str">
        <f>'見積書'!R54</f>
        <v/>
      </c>
      <c r="S54" s="39"/>
      <c r="T54" s="39"/>
      <c r="U54" s="43">
        <f>'見積書'!U54</f>
        <v>0</v>
      </c>
      <c r="V54" s="39"/>
      <c r="W54" s="44"/>
    </row>
    <row r="55">
      <c r="A55" s="117">
        <v>27.0</v>
      </c>
      <c r="B55" s="30" t="str">
        <f>'見積書'!B55</f>
        <v/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111" t="str">
        <f>'見積書'!O55</f>
        <v/>
      </c>
      <c r="P55" s="49"/>
      <c r="Q55" s="34" t="str">
        <f>'見積書'!Q55</f>
        <v/>
      </c>
      <c r="R55" s="35" t="str">
        <f>'見積書'!R55</f>
        <v/>
      </c>
      <c r="S55" s="31"/>
      <c r="T55" s="31"/>
      <c r="U55" s="35">
        <f>'見積書'!U55</f>
        <v>0</v>
      </c>
      <c r="V55" s="31"/>
      <c r="W55" s="36"/>
    </row>
    <row r="56">
      <c r="A56" s="115">
        <v>28.0</v>
      </c>
      <c r="B56" s="38" t="str">
        <f>'見積書'!B56</f>
        <v/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112" t="str">
        <f>'見積書'!O56</f>
        <v/>
      </c>
      <c r="P56" s="51"/>
      <c r="Q56" s="113" t="str">
        <f>'見積書'!Q56</f>
        <v/>
      </c>
      <c r="R56" s="43" t="str">
        <f>'見積書'!R56</f>
        <v/>
      </c>
      <c r="S56" s="39"/>
      <c r="T56" s="39"/>
      <c r="U56" s="43">
        <f>'見積書'!U56</f>
        <v>0</v>
      </c>
      <c r="V56" s="39"/>
      <c r="W56" s="44"/>
    </row>
    <row r="57">
      <c r="A57" s="114">
        <v>29.0</v>
      </c>
      <c r="B57" s="30" t="str">
        <f>'見積書'!B57</f>
        <v/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111" t="str">
        <f>'見積書'!O57</f>
        <v/>
      </c>
      <c r="P57" s="49"/>
      <c r="Q57" s="34" t="str">
        <f>'見積書'!Q57</f>
        <v/>
      </c>
      <c r="R57" s="35" t="str">
        <f>'見積書'!R57</f>
        <v/>
      </c>
      <c r="S57" s="31"/>
      <c r="T57" s="31"/>
      <c r="U57" s="35">
        <f>'見積書'!U57</f>
        <v>0</v>
      </c>
      <c r="V57" s="31"/>
      <c r="W57" s="36"/>
    </row>
    <row r="58">
      <c r="A58" s="115">
        <v>30.0</v>
      </c>
      <c r="B58" s="38" t="str">
        <f>'見積書'!B58</f>
        <v/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112" t="str">
        <f>'見積書'!O58</f>
        <v/>
      </c>
      <c r="P58" s="51"/>
      <c r="Q58" s="113" t="str">
        <f>'見積書'!Q58</f>
        <v/>
      </c>
      <c r="R58" s="43" t="str">
        <f>'見積書'!R58</f>
        <v/>
      </c>
      <c r="S58" s="39"/>
      <c r="T58" s="39"/>
      <c r="U58" s="43">
        <f>'見積書'!U58</f>
        <v>0</v>
      </c>
      <c r="V58" s="39"/>
      <c r="W58" s="44"/>
    </row>
    <row r="59">
      <c r="A59" s="117">
        <v>31.0</v>
      </c>
      <c r="B59" s="30" t="str">
        <f>'見積書'!B59</f>
        <v/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111" t="str">
        <f>'見積書'!O59</f>
        <v/>
      </c>
      <c r="P59" s="49"/>
      <c r="Q59" s="34" t="str">
        <f>'見積書'!Q59</f>
        <v/>
      </c>
      <c r="R59" s="35" t="str">
        <f>'見積書'!R59</f>
        <v/>
      </c>
      <c r="S59" s="31"/>
      <c r="T59" s="31"/>
      <c r="U59" s="35">
        <f>'見積書'!U59</f>
        <v>0</v>
      </c>
      <c r="V59" s="31"/>
      <c r="W59" s="36"/>
    </row>
    <row r="60">
      <c r="A60" s="116">
        <v>32.0</v>
      </c>
      <c r="B60" s="38" t="str">
        <f>'見積書'!B60</f>
        <v/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112" t="str">
        <f>'見積書'!O60</f>
        <v/>
      </c>
      <c r="P60" s="51"/>
      <c r="Q60" s="113" t="str">
        <f>'見積書'!Q60</f>
        <v/>
      </c>
      <c r="R60" s="43" t="str">
        <f>'見積書'!R60</f>
        <v/>
      </c>
      <c r="S60" s="39"/>
      <c r="T60" s="39"/>
      <c r="U60" s="43">
        <f>'見積書'!U60</f>
        <v>0</v>
      </c>
      <c r="V60" s="39"/>
      <c r="W60" s="44"/>
    </row>
    <row r="61">
      <c r="A61" s="117">
        <v>33.0</v>
      </c>
      <c r="B61" s="30" t="str">
        <f>'見積書'!B61</f>
        <v/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111" t="str">
        <f>'見積書'!O61</f>
        <v/>
      </c>
      <c r="P61" s="49"/>
      <c r="Q61" s="34" t="str">
        <f>'見積書'!Q61</f>
        <v/>
      </c>
      <c r="R61" s="35" t="str">
        <f>'見積書'!R61</f>
        <v/>
      </c>
      <c r="S61" s="31"/>
      <c r="T61" s="31"/>
      <c r="U61" s="35">
        <f>'見積書'!U61</f>
        <v>0</v>
      </c>
      <c r="V61" s="31"/>
      <c r="W61" s="36"/>
    </row>
    <row r="62">
      <c r="A62" s="115">
        <v>34.0</v>
      </c>
      <c r="B62" s="38" t="str">
        <f>'見積書'!B62</f>
        <v/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112" t="str">
        <f>'見積書'!O62</f>
        <v/>
      </c>
      <c r="P62" s="51"/>
      <c r="Q62" s="113" t="str">
        <f>'見積書'!Q62</f>
        <v/>
      </c>
      <c r="R62" s="43" t="str">
        <f>'見積書'!R62</f>
        <v/>
      </c>
      <c r="S62" s="39"/>
      <c r="T62" s="39"/>
      <c r="U62" s="43">
        <f>'見積書'!U62</f>
        <v>0</v>
      </c>
      <c r="V62" s="39"/>
      <c r="W62" s="44"/>
    </row>
    <row r="63">
      <c r="A63" s="114">
        <v>35.0</v>
      </c>
      <c r="B63" s="30" t="str">
        <f>'見積書'!B63</f>
        <v/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111" t="str">
        <f>'見積書'!O63</f>
        <v/>
      </c>
      <c r="P63" s="49"/>
      <c r="Q63" s="34" t="str">
        <f>'見積書'!Q63</f>
        <v/>
      </c>
      <c r="R63" s="35" t="str">
        <f>'見積書'!R63</f>
        <v/>
      </c>
      <c r="S63" s="31"/>
      <c r="T63" s="31"/>
      <c r="U63" s="35">
        <f>'見積書'!U63</f>
        <v>0</v>
      </c>
      <c r="V63" s="31"/>
      <c r="W63" s="36"/>
    </row>
    <row r="64">
      <c r="A64" s="115">
        <v>36.0</v>
      </c>
      <c r="B64" s="38" t="str">
        <f>'見積書'!B64</f>
        <v/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112" t="str">
        <f>'見積書'!O64</f>
        <v/>
      </c>
      <c r="P64" s="51"/>
      <c r="Q64" s="113" t="str">
        <f>'見積書'!Q64</f>
        <v/>
      </c>
      <c r="R64" s="43" t="str">
        <f>'見積書'!R64</f>
        <v/>
      </c>
      <c r="S64" s="39"/>
      <c r="T64" s="39"/>
      <c r="U64" s="43">
        <f>'見積書'!U64</f>
        <v>0</v>
      </c>
      <c r="V64" s="39"/>
      <c r="W64" s="44"/>
    </row>
    <row r="65">
      <c r="A65" s="117">
        <v>37.0</v>
      </c>
      <c r="B65" s="30" t="str">
        <f>'見積書'!B65</f>
        <v/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111" t="str">
        <f>'見積書'!O65</f>
        <v/>
      </c>
      <c r="P65" s="49"/>
      <c r="Q65" s="34" t="str">
        <f>'見積書'!Q65</f>
        <v/>
      </c>
      <c r="R65" s="35" t="str">
        <f>'見積書'!R65</f>
        <v/>
      </c>
      <c r="S65" s="31"/>
      <c r="T65" s="31"/>
      <c r="U65" s="35">
        <f>'見積書'!U65</f>
        <v>0</v>
      </c>
      <c r="V65" s="31"/>
      <c r="W65" s="36"/>
    </row>
    <row r="66">
      <c r="A66" s="116">
        <v>38.0</v>
      </c>
      <c r="B66" s="38" t="str">
        <f>'見積書'!B66</f>
        <v/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112" t="str">
        <f>'見積書'!O66</f>
        <v/>
      </c>
      <c r="P66" s="51"/>
      <c r="Q66" s="113" t="str">
        <f>'見積書'!Q66</f>
        <v/>
      </c>
      <c r="R66" s="43" t="str">
        <f>'見積書'!R66</f>
        <v/>
      </c>
      <c r="S66" s="39"/>
      <c r="T66" s="39"/>
      <c r="U66" s="43">
        <f>'見積書'!U66</f>
        <v>0</v>
      </c>
      <c r="V66" s="39"/>
      <c r="W66" s="44"/>
    </row>
    <row r="67">
      <c r="A67" s="117">
        <v>39.0</v>
      </c>
      <c r="B67" s="30" t="str">
        <f>'見積書'!B67</f>
        <v/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111" t="str">
        <f>'見積書'!O67</f>
        <v/>
      </c>
      <c r="P67" s="49"/>
      <c r="Q67" s="34" t="str">
        <f>'見積書'!Q67</f>
        <v/>
      </c>
      <c r="R67" s="35" t="str">
        <f>'見積書'!R67</f>
        <v/>
      </c>
      <c r="S67" s="31"/>
      <c r="T67" s="31"/>
      <c r="U67" s="35">
        <f>'見積書'!U67</f>
        <v>0</v>
      </c>
      <c r="V67" s="31"/>
      <c r="W67" s="36"/>
    </row>
    <row r="68">
      <c r="A68" s="116">
        <v>40.0</v>
      </c>
      <c r="B68" s="38" t="str">
        <f>'見積書'!B68</f>
        <v/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112" t="str">
        <f>'見積書'!O68</f>
        <v/>
      </c>
      <c r="P68" s="51"/>
      <c r="Q68" s="113" t="str">
        <f>'見積書'!Q68</f>
        <v/>
      </c>
      <c r="R68" s="43" t="str">
        <f>'見積書'!R68</f>
        <v/>
      </c>
      <c r="S68" s="39"/>
      <c r="T68" s="39"/>
      <c r="U68" s="43">
        <f>'見積書'!U68</f>
        <v>0</v>
      </c>
      <c r="V68" s="39"/>
      <c r="W68" s="44"/>
    </row>
    <row r="69">
      <c r="A69" s="118">
        <v>41.0</v>
      </c>
      <c r="B69" s="119" t="str">
        <f>'見積書'!B69</f>
        <v/>
      </c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120" t="str">
        <f>'見積書'!O69</f>
        <v/>
      </c>
      <c r="P69" s="78"/>
      <c r="Q69" s="119" t="str">
        <f>'見積書'!Q69</f>
        <v/>
      </c>
      <c r="R69" s="77" t="str">
        <f>'見積書'!R69</f>
        <v/>
      </c>
      <c r="S69" s="78"/>
      <c r="T69" s="78"/>
      <c r="U69" s="77">
        <f>'見積書'!U69</f>
        <v>0</v>
      </c>
      <c r="V69" s="78"/>
      <c r="W69" s="79"/>
    </row>
    <row r="70">
      <c r="A70" s="80" t="s">
        <v>49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2">
        <f>SUM(U19:W69)</f>
        <v>1586110</v>
      </c>
      <c r="W70" s="83"/>
    </row>
    <row r="71">
      <c r="A71" s="84" t="s">
        <v>50</v>
      </c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6">
        <f>O70*10%</f>
        <v>158611</v>
      </c>
      <c r="W71" s="87"/>
    </row>
    <row r="72">
      <c r="A72" s="88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90"/>
      <c r="P72" s="91"/>
      <c r="Q72" s="91"/>
      <c r="R72" s="91"/>
      <c r="S72" s="91"/>
      <c r="T72" s="91"/>
      <c r="U72" s="91"/>
      <c r="V72" s="91"/>
      <c r="W72" s="92"/>
    </row>
    <row r="73">
      <c r="A73" s="93" t="s">
        <v>51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5">
        <f>SUM(O70:W71)</f>
        <v>1744721</v>
      </c>
      <c r="W73" s="96"/>
    </row>
    <row r="75">
      <c r="A75" s="13" t="s">
        <v>63</v>
      </c>
    </row>
    <row r="76">
      <c r="A76" s="97"/>
      <c r="B76" s="98" t="s">
        <v>53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100"/>
      <c r="W76" s="101"/>
    </row>
    <row r="77">
      <c r="A77" s="102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4"/>
      <c r="W77" s="105"/>
    </row>
    <row r="78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8"/>
      <c r="W78" s="109"/>
    </row>
  </sheetData>
  <mergeCells count="226">
    <mergeCell ref="B51:N51"/>
    <mergeCell ref="O51:P51"/>
    <mergeCell ref="R51:T51"/>
    <mergeCell ref="U51:W51"/>
    <mergeCell ref="O52:P52"/>
    <mergeCell ref="R52:T52"/>
    <mergeCell ref="U52:W52"/>
    <mergeCell ref="B52:N52"/>
    <mergeCell ref="B53:N53"/>
    <mergeCell ref="O53:P53"/>
    <mergeCell ref="R53:T53"/>
    <mergeCell ref="U53:W53"/>
    <mergeCell ref="B54:N54"/>
    <mergeCell ref="O54:P54"/>
    <mergeCell ref="R55:T55"/>
    <mergeCell ref="R56:T56"/>
    <mergeCell ref="R54:T54"/>
    <mergeCell ref="U54:W54"/>
    <mergeCell ref="B55:N55"/>
    <mergeCell ref="O55:P55"/>
    <mergeCell ref="U55:W55"/>
    <mergeCell ref="O56:P56"/>
    <mergeCell ref="U56:W56"/>
    <mergeCell ref="R58:T58"/>
    <mergeCell ref="U58:W58"/>
    <mergeCell ref="B56:N56"/>
    <mergeCell ref="B57:N57"/>
    <mergeCell ref="O57:P57"/>
    <mergeCell ref="R57:T57"/>
    <mergeCell ref="U57:W57"/>
    <mergeCell ref="B58:N58"/>
    <mergeCell ref="O58:P58"/>
    <mergeCell ref="B59:N59"/>
    <mergeCell ref="O59:P59"/>
    <mergeCell ref="R59:T59"/>
    <mergeCell ref="U59:W59"/>
    <mergeCell ref="O60:P60"/>
    <mergeCell ref="R60:T60"/>
    <mergeCell ref="U60:W60"/>
    <mergeCell ref="B60:N60"/>
    <mergeCell ref="B61:N61"/>
    <mergeCell ref="O61:P61"/>
    <mergeCell ref="R61:T61"/>
    <mergeCell ref="U61:W61"/>
    <mergeCell ref="B62:N62"/>
    <mergeCell ref="O62:P62"/>
    <mergeCell ref="R63:T63"/>
    <mergeCell ref="R64:T64"/>
    <mergeCell ref="R62:T62"/>
    <mergeCell ref="U62:W62"/>
    <mergeCell ref="B63:N63"/>
    <mergeCell ref="O63:P63"/>
    <mergeCell ref="U63:W63"/>
    <mergeCell ref="O64:P64"/>
    <mergeCell ref="U64:W64"/>
    <mergeCell ref="R66:T66"/>
    <mergeCell ref="U66:W66"/>
    <mergeCell ref="B64:N64"/>
    <mergeCell ref="B65:N65"/>
    <mergeCell ref="O65:P65"/>
    <mergeCell ref="R65:T65"/>
    <mergeCell ref="U65:W65"/>
    <mergeCell ref="B66:N66"/>
    <mergeCell ref="O66:P66"/>
    <mergeCell ref="B67:N67"/>
    <mergeCell ref="O67:P67"/>
    <mergeCell ref="R67:T67"/>
    <mergeCell ref="U67:W67"/>
    <mergeCell ref="O68:P68"/>
    <mergeCell ref="R68:T68"/>
    <mergeCell ref="U68:W68"/>
    <mergeCell ref="B68:N68"/>
    <mergeCell ref="B69:N69"/>
    <mergeCell ref="O69:P69"/>
    <mergeCell ref="R69:T69"/>
    <mergeCell ref="U69:W69"/>
    <mergeCell ref="O70:W70"/>
    <mergeCell ref="O71:W71"/>
    <mergeCell ref="B27:N27"/>
    <mergeCell ref="O27:P27"/>
    <mergeCell ref="R27:T27"/>
    <mergeCell ref="U27:W27"/>
    <mergeCell ref="O28:P28"/>
    <mergeCell ref="R28:T28"/>
    <mergeCell ref="U28:W28"/>
    <mergeCell ref="R30:T30"/>
    <mergeCell ref="U30:W30"/>
    <mergeCell ref="B28:N28"/>
    <mergeCell ref="B29:N29"/>
    <mergeCell ref="O29:P29"/>
    <mergeCell ref="R29:T29"/>
    <mergeCell ref="U29:W29"/>
    <mergeCell ref="B30:N30"/>
    <mergeCell ref="O30:P30"/>
    <mergeCell ref="B31:N31"/>
    <mergeCell ref="O31:P31"/>
    <mergeCell ref="R31:T31"/>
    <mergeCell ref="U31:W31"/>
    <mergeCell ref="O32:P32"/>
    <mergeCell ref="R32:T32"/>
    <mergeCell ref="U32:W32"/>
    <mergeCell ref="R34:T34"/>
    <mergeCell ref="U34:W34"/>
    <mergeCell ref="B32:N32"/>
    <mergeCell ref="B33:N33"/>
    <mergeCell ref="O33:P33"/>
    <mergeCell ref="R33:T33"/>
    <mergeCell ref="U33:W33"/>
    <mergeCell ref="B34:N34"/>
    <mergeCell ref="O34:P34"/>
    <mergeCell ref="O72:W72"/>
    <mergeCell ref="O73:W73"/>
    <mergeCell ref="U74:W74"/>
    <mergeCell ref="U75:W75"/>
    <mergeCell ref="U76:W76"/>
    <mergeCell ref="U77:W77"/>
    <mergeCell ref="U78:W78"/>
    <mergeCell ref="C1:F2"/>
    <mergeCell ref="T4:W4"/>
    <mergeCell ref="A5:I5"/>
    <mergeCell ref="S5:W5"/>
    <mergeCell ref="A9:I9"/>
    <mergeCell ref="A11:I11"/>
    <mergeCell ref="B15:D16"/>
    <mergeCell ref="R18:T18"/>
    <mergeCell ref="R19:T19"/>
    <mergeCell ref="R20:T20"/>
    <mergeCell ref="U20:W20"/>
    <mergeCell ref="R21:T21"/>
    <mergeCell ref="U21:W21"/>
    <mergeCell ref="R22:T22"/>
    <mergeCell ref="U22:W22"/>
    <mergeCell ref="E15:K16"/>
    <mergeCell ref="L15:M16"/>
    <mergeCell ref="B18:N18"/>
    <mergeCell ref="O18:Q18"/>
    <mergeCell ref="U18:W18"/>
    <mergeCell ref="O19:P19"/>
    <mergeCell ref="U19:W19"/>
    <mergeCell ref="B19:N19"/>
    <mergeCell ref="B20:N20"/>
    <mergeCell ref="O20:P20"/>
    <mergeCell ref="B21:N21"/>
    <mergeCell ref="O21:P21"/>
    <mergeCell ref="B22:N22"/>
    <mergeCell ref="O22:P22"/>
    <mergeCell ref="B23:N23"/>
    <mergeCell ref="O23:P23"/>
    <mergeCell ref="R23:T23"/>
    <mergeCell ref="U23:W23"/>
    <mergeCell ref="O24:P24"/>
    <mergeCell ref="R24:T24"/>
    <mergeCell ref="U24:W24"/>
    <mergeCell ref="R26:T26"/>
    <mergeCell ref="U26:W26"/>
    <mergeCell ref="B24:N24"/>
    <mergeCell ref="B25:N25"/>
    <mergeCell ref="O25:P25"/>
    <mergeCell ref="R25:T25"/>
    <mergeCell ref="U25:W25"/>
    <mergeCell ref="B26:N26"/>
    <mergeCell ref="O26:P26"/>
    <mergeCell ref="B35:N35"/>
    <mergeCell ref="O35:P35"/>
    <mergeCell ref="R35:T35"/>
    <mergeCell ref="U35:W35"/>
    <mergeCell ref="O36:P36"/>
    <mergeCell ref="R36:T36"/>
    <mergeCell ref="U36:W36"/>
    <mergeCell ref="B36:N36"/>
    <mergeCell ref="B37:N37"/>
    <mergeCell ref="O37:P37"/>
    <mergeCell ref="R37:T37"/>
    <mergeCell ref="U37:W37"/>
    <mergeCell ref="B38:N38"/>
    <mergeCell ref="O38:P38"/>
    <mergeCell ref="R39:T39"/>
    <mergeCell ref="R40:T40"/>
    <mergeCell ref="R38:T38"/>
    <mergeCell ref="U38:W38"/>
    <mergeCell ref="B39:N39"/>
    <mergeCell ref="O39:P39"/>
    <mergeCell ref="U39:W39"/>
    <mergeCell ref="O40:P40"/>
    <mergeCell ref="U40:W40"/>
    <mergeCell ref="R42:T42"/>
    <mergeCell ref="U42:W42"/>
    <mergeCell ref="B40:N40"/>
    <mergeCell ref="B41:N41"/>
    <mergeCell ref="O41:P41"/>
    <mergeCell ref="R41:T41"/>
    <mergeCell ref="U41:W41"/>
    <mergeCell ref="B42:N42"/>
    <mergeCell ref="O42:P42"/>
    <mergeCell ref="B43:N43"/>
    <mergeCell ref="O43:P43"/>
    <mergeCell ref="R43:T43"/>
    <mergeCell ref="U43:W43"/>
    <mergeCell ref="O44:P44"/>
    <mergeCell ref="R44:T44"/>
    <mergeCell ref="U44:W44"/>
    <mergeCell ref="B44:N44"/>
    <mergeCell ref="B45:N45"/>
    <mergeCell ref="O45:P45"/>
    <mergeCell ref="R45:T45"/>
    <mergeCell ref="U45:W45"/>
    <mergeCell ref="B46:N46"/>
    <mergeCell ref="O46:P46"/>
    <mergeCell ref="R47:T47"/>
    <mergeCell ref="R48:T48"/>
    <mergeCell ref="R46:T46"/>
    <mergeCell ref="U46:W46"/>
    <mergeCell ref="B47:N47"/>
    <mergeCell ref="O47:P47"/>
    <mergeCell ref="U47:W47"/>
    <mergeCell ref="O48:P48"/>
    <mergeCell ref="U48:W48"/>
    <mergeCell ref="R50:T50"/>
    <mergeCell ref="U50:W50"/>
    <mergeCell ref="B48:N48"/>
    <mergeCell ref="B49:N49"/>
    <mergeCell ref="O49:P49"/>
    <mergeCell ref="R49:T49"/>
    <mergeCell ref="U49:W49"/>
    <mergeCell ref="B50:N50"/>
    <mergeCell ref="O50:P50"/>
  </mergeCells>
  <dataValidations>
    <dataValidation type="list" allowBlank="1" showErrorMessage="1" sqref="O19:O69">
      <formula1>"1,2,3,4,5,6,7,一式,12,8"</formula1>
    </dataValidation>
    <dataValidation type="list" allowBlank="1" showErrorMessage="1" sqref="Q19:Q69">
      <formula1>"日,式"</formula1>
    </dataValidation>
  </dataValidations>
  <printOptions horizontalCentered="1"/>
  <pageMargins bottom="0.75" footer="0.0" header="0.0" left="0.7" right="0.7" top="0.75"/>
  <pageSetup fitToWidth="0" paperSize="9" orientation="portrait" pageOrder="overThenDown"/>
  <drawing r:id="rId1"/>
</worksheet>
</file>